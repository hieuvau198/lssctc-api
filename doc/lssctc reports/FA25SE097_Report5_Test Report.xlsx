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2"/>
  </bookViews>
  <sheets>
    <sheet name="Cover" sheetId="1" r:id="rId1"/>
    <sheet name="Test Cases" sheetId="2" r:id="rId2"/>
    <sheet name="Test Statistics" sheetId="3" r:id="rId3"/>
    <sheet name="Feature 1" sheetId="4" r:id="rId4"/>
    <sheet name="Feature 2" sheetId="5" r:id="rId5"/>
    <sheet name="Feature 3" sheetId="6" r:id="rId6"/>
    <sheet name="Feature 4" sheetId="7" r:id="rId7"/>
    <sheet name="Feature 5" sheetId="8" r:id="rId8"/>
  </sheets>
  <definedNames>
    <definedName name="ACTION">#REF!</definedName>
    <definedName name="ACTION"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D10" authorId="0">
      <text>
        <r>
          <rPr>
            <sz val="10"/>
            <rFont val="SimSun"/>
            <charset val="134"/>
          </rPr>
          <t xml:space="preserve">*A: Add
  M: Modify
  D: Delete
</t>
        </r>
      </text>
    </comment>
  </commentList>
</comments>
</file>

<file path=xl/comments2.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comments3.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comments4.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comments5.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comments6.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<sst xmlns="http://schemas.openxmlformats.org/spreadsheetml/2006/main" count="1363" uniqueCount="878">
  <si>
    <t>TEST REPORT DOCUMENT</t>
  </si>
  <si>
    <t>Project Name</t>
  </si>
  <si>
    <t>Learner Management and 3D Simulation System for Crane Training Center (LSSCTC)</t>
  </si>
  <si>
    <t>Creator</t>
  </si>
  <si>
    <t>Dao Trong Duc, Le Nhat Quang</t>
  </si>
  <si>
    <t>Project Code</t>
  </si>
  <si>
    <t>LSSCTC</t>
  </si>
  <si>
    <t>Issue Date</t>
  </si>
  <si>
    <t>Document Code</t>
  </si>
  <si>
    <t>Version</t>
  </si>
  <si>
    <t>Record of change</t>
  </si>
  <si>
    <t>Effective Date</t>
  </si>
  <si>
    <t>Change Item</t>
  </si>
  <si>
    <t>*A,D,M</t>
  </si>
  <si>
    <t>Change description</t>
  </si>
  <si>
    <t>Reference</t>
  </si>
  <si>
    <t>&lt;Date when these changes are effective&gt;</t>
  </si>
  <si>
    <t>&lt;List of documents which are refered in this version.&gt;</t>
  </si>
  <si>
    <t>TEST CASE LIST</t>
  </si>
  <si>
    <t>Test Environment Setup Description</t>
  </si>
  <si>
    <t>&lt;List enviroment requires in this system
1. Server
2. Database
3. Web Browser
...
&gt;</t>
  </si>
  <si>
    <t>No</t>
  </si>
  <si>
    <t>Function Name</t>
  </si>
  <si>
    <t>Sheet Name</t>
  </si>
  <si>
    <t>Description</t>
  </si>
  <si>
    <t>Pre-Condition</t>
  </si>
  <si>
    <t>Training Content &amp; Curriculum Management</t>
  </si>
  <si>
    <t>Feature1</t>
  </si>
  <si>
    <t>Create/Edit Programs, Courses, Classes, Sections, and Materials</t>
  </si>
  <si>
    <t>Admin or Instructor logged in</t>
  </si>
  <si>
    <t>Trainee Enrollment &amp; Learning Process</t>
  </si>
  <si>
    <t>Feature2</t>
  </si>
  <si>
    <t>Trainee enrollment, accessing My Classes, and viewing learning content</t>
  </si>
  <si>
    <t>Trainee logged in with valid account</t>
  </si>
  <si>
    <t>Simulation Integration &amp; Practice Session</t>
  </si>
  <si>
    <t>Feature3</t>
  </si>
  <si>
    <t>Launch simulation from Web, handshake auth, and sync results back to Web</t>
  </si>
  <si>
    <t>Sim Client installed &amp; Session active</t>
  </si>
  <si>
    <t>Trainee Final Exam Module</t>
  </si>
  <si>
    <t>Feature4</t>
  </si>
  <si>
    <t>Trainee taking Theory and Simulation exams with timer and validation</t>
  </si>
  <si>
    <t>Exam scheduled &amp; Open Code valid</t>
  </si>
  <si>
    <t>System Dashboard &amp; Analytics</t>
  </si>
  <si>
    <t>Feature5</t>
  </si>
  <si>
    <t>View statistics and charts for Admin, Instructor, and Sim Manager</t>
  </si>
  <si>
    <t>User logged in with appropriate role</t>
  </si>
  <si>
    <t>TEST STATISTICS</t>
  </si>
  <si>
    <t>&lt;Project Name&gt;</t>
  </si>
  <si>
    <t>&lt;Project Code&gt;</t>
  </si>
  <si>
    <t>Reviewer/Approver</t>
  </si>
  <si>
    <t>&lt;Date when this test report is created&gt;</t>
  </si>
  <si>
    <t>Notes</t>
  </si>
  <si>
    <t>&lt;List modules included in this release&gt; ex: Release 1 includes 2 modules: Module1 and Module2</t>
  </si>
  <si>
    <t>Module code</t>
  </si>
  <si>
    <t>Passed</t>
  </si>
  <si>
    <t>Failed</t>
  </si>
  <si>
    <t>Pending</t>
  </si>
  <si>
    <t>N/A</t>
  </si>
  <si>
    <t>Number of  test cases</t>
  </si>
  <si>
    <t>Sub total</t>
  </si>
  <si>
    <t>Test coverage</t>
  </si>
  <si>
    <t>%</t>
  </si>
  <si>
    <t>Test successful coverage</t>
  </si>
  <si>
    <t>Feature</t>
  </si>
  <si>
    <t>Test requirement</t>
  </si>
  <si>
    <t>Verify the end-to-end training content creation workflow. 
Ensure Administrators can create and configure Training Programs, Courses, and Classes. 
Ensure Instructors can manage Course Sections, upload Learning Materials, and create Quizzes. 
Verify that all created content is correctly linked and displayed for Trainee enrollment.</t>
  </si>
  <si>
    <t>Number of TCs</t>
  </si>
  <si>
    <t>Testing Round</t>
  </si>
  <si>
    <t>Round 1</t>
  </si>
  <si>
    <t>Round 2</t>
  </si>
  <si>
    <t>Round 3</t>
  </si>
  <si>
    <t>Test Case ID</t>
  </si>
  <si>
    <t>Test Case Description</t>
  </si>
  <si>
    <t>Test Case Procedure</t>
  </si>
  <si>
    <t>Expected Results</t>
  </si>
  <si>
    <t>Pre-conditions</t>
  </si>
  <si>
    <t>Test date</t>
  </si>
  <si>
    <t>Tester</t>
  </si>
  <si>
    <t>Note</t>
  </si>
  <si>
    <t>Program Manager</t>
  </si>
  <si>
    <t>TC_PROG_001</t>
  </si>
  <si>
    <t>Verify Create Program UI</t>
  </si>
  <si>
    <t>1. Log in as Admin.2. Navigate to Program Management.3. Click "Create Program".</t>
  </si>
  <si>
    <t>1. Name input (Placeholder: Enter program name).2. Image URL input.3. Description textarea.4. Image Preview box visible.5. Buttons visible.</t>
  </si>
  <si>
    <t>Admin logged in</t>
  </si>
  <si>
    <t>TC_PROG_002</t>
  </si>
  <si>
    <t>Create Program with Valid Data</t>
  </si>
  <si>
    <t>1. Enter valid Name.2. Enter Image URL.3. Enter Description.4. Click Create.</t>
  </si>
  <si>
    <t>1. No validation errors.2. Spinner appears.3. Form submits successfully.</t>
  </si>
  <si>
    <t>Form is open</t>
  </si>
  <si>
    <t>TC_PROG_003</t>
  </si>
  <si>
    <t>Validate Required Fields Program</t>
  </si>
  <si>
    <t>1. Leave Name, Image, Desc empty.2. Click Create.</t>
  </si>
  <si>
    <t>1. Error messages appear under required fields (Name, Description).</t>
  </si>
  <si>
    <t>TC_PROG_004</t>
  </si>
  <si>
    <t>Validate Image URL Format</t>
  </si>
  <si>
    <t>1. Enter invalid text in URL field.2. Submit.</t>
  </si>
  <si>
    <t>1. Error message: "Must be a valid URL".2. Submit blocked.</t>
  </si>
  <si>
    <t>TC_PROG_005</t>
  </si>
  <si>
    <t>Verify Image Preview</t>
  </si>
  <si>
    <t>1. Enter valid image URL.2. Blur input.</t>
  </si>
  <si>
    <t>1. Preview box shows the image correctly.</t>
  </si>
  <si>
    <t>Course Manager</t>
  </si>
  <si>
    <t>TC_CS_001</t>
  </si>
  <si>
    <t>Verify Create Course UI</t>
  </si>
  <si>
    <t>1. Navigate to Courses.2. Click "Create Course".</t>
  </si>
  <si>
    <t>1. All fields present (Name, Code, Price, Duration, etc).</t>
  </si>
  <si>
    <t>TC_CS_002</t>
  </si>
  <si>
    <t>Create Course Success</t>
  </si>
  <si>
    <t>1. Fill Name, Code, Price, Duration.2. Click "Add Course".</t>
  </si>
  <si>
    <t>1. Success message appears.2. Course added to list.</t>
  </si>
  <si>
    <t>TC_CS_003</t>
  </si>
  <si>
    <t>Validate Course Required Fields</t>
  </si>
  <si>
    <t>1. Leave all empty.2. Click Add.</t>
  </si>
  <si>
    <t>1. Error messages for Name, Code, Price, Duration.</t>
  </si>
  <si>
    <t>TC_CS_004</t>
  </si>
  <si>
    <t>Validate Course Price Range</t>
  </si>
  <si>
    <t>1. Enter Price: -1.2. Click Add.</t>
  </si>
  <si>
    <t>1. Error: Price must be &gt;= 0.</t>
  </si>
  <si>
    <t>TC_CS_005</t>
  </si>
  <si>
    <t>Validate Duration Range</t>
  </si>
  <si>
    <t>1. Enter Duration: 10000.2. Click Add.</t>
  </si>
  <si>
    <t>1. Error: Duration invalid (too high).</t>
  </si>
  <si>
    <t>Assign Course</t>
  </si>
  <si>
    <t>TC_ASSIGN_01</t>
  </si>
  <si>
    <t>Verify Assign Course UI</t>
  </si>
  <si>
    <t>1. Open Program.2. Click "Add Course".</t>
  </si>
  <si>
    <t>1. Modal "Assign Course" appears.2. Course dropdown visible.</t>
  </si>
  <si>
    <t>Program Detail</t>
  </si>
  <si>
    <t>TC_ASSIGN_02</t>
  </si>
  <si>
    <t>Assign Course Success</t>
  </si>
  <si>
    <t>1. Select unassigned course.2. Click Save.</t>
  </si>
  <si>
    <t>1. Success message.2. Course listed in program.</t>
  </si>
  <si>
    <t>Modal open</t>
  </si>
  <si>
    <t>TC_ASSIGN_03</t>
  </si>
  <si>
    <t>Validate Empty Selection</t>
  </si>
  <si>
    <t>1. Don't select course.2. Click Save.</t>
  </si>
  <si>
    <t>1. Error: "Please select a course".</t>
  </si>
  <si>
    <t>TC_ASSIGN_04</t>
  </si>
  <si>
    <t>Assign Duplicate Course</t>
  </si>
  <si>
    <t>1. Select course already in program.2. Click Save.</t>
  </si>
  <si>
    <t>1. Error message: "Course already assigned".</t>
  </si>
  <si>
    <t>Manage Classes (Create Class)</t>
  </si>
  <si>
    <t>TC_CLS_001</t>
  </si>
  <si>
    <t>Verify Create Class UI</t>
  </si>
  <si>
    <t>1. Go to Class Mgmt.2. Click "Add Class".</t>
  </si>
  <si>
    <t>1. Check Inputs: Code, Name, Dates, Schedule.</t>
  </si>
  <si>
    <t>TC_CLS_002</t>
  </si>
  <si>
    <t>Create Class Success</t>
  </si>
  <si>
    <t>1. Fill valid data.2. Set valid Schedule.3. Click Save.</t>
  </si>
  <si>
    <t>1. Success message.2. Class visible in list.</t>
  </si>
  <si>
    <t>Form open</t>
  </si>
  <si>
    <t>TC_CLS_003</t>
  </si>
  <si>
    <t>Validate Duplicate Class Code</t>
  </si>
  <si>
    <t>1. Enter existing Code.2. Save.</t>
  </si>
  <si>
    <t>1. Error message from API: "Code exists".</t>
  </si>
  <si>
    <t>TC_CLS_004</t>
  </si>
  <si>
    <t>Validate Max Trainees Logic</t>
  </si>
  <si>
    <t>1. Enter Max Trainees: 0 or 1000.2. Save.</t>
  </si>
  <si>
    <t>1. Error: Value out of range.</t>
  </si>
  <si>
    <t>Assign Instructor to Class</t>
  </si>
  <si>
    <t>TC_INS_001</t>
  </si>
  <si>
    <t>Verify Instructor Dropdown</t>
  </si>
  <si>
    <t>1. Click on "Instructor" dropdown.</t>
  </si>
  <si>
    <t>1. List of instructors loaded.</t>
  </si>
  <si>
    <t>TC_INS_002</t>
  </si>
  <si>
    <t>Assign Instructor Success</t>
  </si>
  <si>
    <t>1. Select valid Instructor.2. Save Class.</t>
  </si>
  <si>
    <t>1. Class created with assigned instructor.</t>
  </si>
  <si>
    <t>TC_INS_003</t>
  </si>
  <si>
    <t>Remove/Change Instructor</t>
  </si>
  <si>
    <t>1. Edit Class.2. Change Instructor value.3. Save.</t>
  </si>
  <si>
    <t>1. Class instructor updated.</t>
  </si>
  <si>
    <t>Class exists</t>
  </si>
  <si>
    <t>Add Timeslot (Class Schedule)</t>
  </si>
  <si>
    <t>TC_SCH_001</t>
  </si>
  <si>
    <t>Verify Schedule Inputs</t>
  </si>
  <si>
    <t>1. Scroll to Schedule section.</t>
  </si>
  <si>
    <t>1. Date pickers &amp; Time pickers visible.2. Days of week visible.</t>
  </si>
  <si>
    <t>TC_SCH_002</t>
  </si>
  <si>
    <t>Validate End Date &lt; Start</t>
  </si>
  <si>
    <t>1. Set End Date before Start Date.</t>
  </si>
  <si>
    <t>1. System clears date OR shows error.</t>
  </si>
  <si>
    <t>TC_SCH_003</t>
  </si>
  <si>
    <t>Validate Time Logic</t>
  </si>
  <si>
    <t>1. Set End Time before Start Time.</t>
  </si>
  <si>
    <t>1. Error: End time must be after start time.</t>
  </si>
  <si>
    <t>TC_SCH_004</t>
  </si>
  <si>
    <t>Create Schedule Success</t>
  </si>
  <si>
    <t>1. Pick valid Mon/Wed/Fri range.2. Save.</t>
  </si>
  <si>
    <t>1. Slots generated correctly.</t>
  </si>
  <si>
    <t>Manage Sections (Create Section)</t>
  </si>
  <si>
    <t>TC_SEC_001</t>
  </si>
  <si>
    <t>Verify Add Section UI</t>
  </si>
  <si>
    <t>1. Go to Course -&gt; Sections.2. Click "Add Section".</t>
  </si>
  <si>
    <t>1. Modal Title/Desc/Duration inputs visible.</t>
  </si>
  <si>
    <t>Instructor Logged</t>
  </si>
  <si>
    <t>TC_SEC_002</t>
  </si>
  <si>
    <t>Create Section Success</t>
  </si>
  <si>
    <t>1. Fill valid Title, Desc.2. Save.</t>
  </si>
  <si>
    <t>1. Success message.2. Section appears in list.</t>
  </si>
  <si>
    <t>TC_SEC_003</t>
  </si>
  <si>
    <t>Validate Section Title Empty</t>
  </si>
  <si>
    <t>1. Leave Title empty.2. Save.</t>
  </si>
  <si>
    <t>1. Error: Title required.</t>
  </si>
  <si>
    <t>TC_SEC_004</t>
  </si>
  <si>
    <t>Cancel Creation</t>
  </si>
  <si>
    <t>1. Enter data.2. Click Cancel.</t>
  </si>
  <si>
    <t>1. Modal closes.2. No data saved.</t>
  </si>
  <si>
    <t>Manage Activities (Add Activity)</t>
  </si>
  <si>
    <t>TC_ACT_001</t>
  </si>
  <si>
    <t>Verify Add Activity UI</t>
  </si>
  <si>
    <t>1. Click "Add Activity" (in Section).</t>
  </si>
  <si>
    <t>1. Name, Type, Desc fields visible.</t>
  </si>
  <si>
    <t>Section exists</t>
  </si>
  <si>
    <t>TC_ACT_002</t>
  </si>
  <si>
    <t>Add Activity Success</t>
  </si>
  <si>
    <t>1. Fill Name.2. Select Quiz/Doc.3. Save.</t>
  </si>
  <si>
    <t>1. Activity created.2. Visible in section tree.</t>
  </si>
  <si>
    <t>TC_ACT_003</t>
  </si>
  <si>
    <t>Validate Required Fields</t>
  </si>
  <si>
    <t>1. Leave Name empty.2. Save.</t>
  </si>
  <si>
    <t>1. Error: Name required.</t>
  </si>
  <si>
    <t>Manage Materials (Create Material)</t>
  </si>
  <si>
    <t>TC_MAT_001</t>
  </si>
  <si>
    <t>Verify Add Material UI</t>
  </si>
  <si>
    <t>1. Click "Add Material".</t>
  </si>
  <si>
    <t>1. Inputs for Document/Video.</t>
  </si>
  <si>
    <t>TC_MAT_002</t>
  </si>
  <si>
    <t>Upload Document Success</t>
  </si>
  <si>
    <t>1. Select Type: Doc.2. Upload PDF.3. Save.</t>
  </si>
  <si>
    <t>1. Upload progress 100%.2. Success message.</t>
  </si>
  <si>
    <t>TC_MAT_003</t>
  </si>
  <si>
    <t>Create Video Link Success</t>
  </si>
  <si>
    <t>1. Select Type: Video.2. Enter YouTube URL.3. Save.</t>
  </si>
  <si>
    <t>1. Video material created.</t>
  </si>
  <si>
    <t>TC_MAT_004</t>
  </si>
  <si>
    <t>Validate Invalid File Type</t>
  </si>
  <si>
    <t>1. Upload .exe file.</t>
  </si>
  <si>
    <t>1. Error: "Only PDF/DOC allowed".</t>
  </si>
  <si>
    <t>Manage Quiz (Create Quiz)</t>
  </si>
  <si>
    <t>TC_QUIZ_001</t>
  </si>
  <si>
    <t>Verify Create Quiz UI</t>
  </si>
  <si>
    <t>1. Go to Quiz Mgmt -&gt; Create.</t>
  </si>
  <si>
    <t>1. General Info &amp; Question tabs visible.</t>
  </si>
  <si>
    <t>TC_QUIZ_002</t>
  </si>
  <si>
    <t>Create Quiz Success</t>
  </si>
  <si>
    <t>1. Fill Info.2. Add 1 Question.3. Save.</t>
  </si>
  <si>
    <t>1. Success message.2. Quiz listed.</t>
  </si>
  <si>
    <t>TC_QUIZ_003</t>
  </si>
  <si>
    <t>Validate Range Values</t>
  </si>
  <si>
    <t>1. Duration: -5. 2. Max Attempts: 0.</t>
  </si>
  <si>
    <t>1. Error messages for invalid ranges.</t>
  </si>
  <si>
    <t>TC_QUIZ_004</t>
  </si>
  <si>
    <t>Add Question Success</t>
  </si>
  <si>
    <t>1. Enter Question text.2. Add Options.3. Select Correct Answer.</t>
  </si>
  <si>
    <t>1. Question saved to list.</t>
  </si>
  <si>
    <t>Question Step</t>
  </si>
  <si>
    <t>TC_QUIZ_005</t>
  </si>
  <si>
    <t>Validate Missing Correct Answer</t>
  </si>
  <si>
    <t>1. Add Question options.2. Don't select correct answer.</t>
  </si>
  <si>
    <t>1. Error: "Select correct answer".</t>
  </si>
  <si>
    <t>Create Practice (Simulation Manager)</t>
  </si>
  <si>
    <t>TC_CP_01</t>
  </si>
  <si>
    <t>Verify Practice UI</t>
  </si>
  <si>
    <t>1. Go to Create Practice.</t>
  </si>
  <si>
    <t>1. Fields: Name, Code, Diff, Duration visible.</t>
  </si>
  <si>
    <t>Sim Manager Logged</t>
  </si>
  <si>
    <t>TC_CP_02</t>
  </si>
  <si>
    <t>Create Practice Success</t>
  </si>
  <si>
    <t>1. Fill all valid fields.2. Click Create.</t>
  </si>
  <si>
    <t>1. Success message.2. Redirect/List update.</t>
  </si>
  <si>
    <t>TC_CP_03</t>
  </si>
  <si>
    <t>Validate Practice Name Empty</t>
  </si>
  <si>
    <t>1. Leave Name empty.2. Create.</t>
  </si>
  <si>
    <t>TC_CP_04</t>
  </si>
  <si>
    <t>Validate Practice Limits</t>
  </si>
  <si>
    <t>1. Difficulty: Unselected.2. Duration: 0.</t>
  </si>
  <si>
    <t>1. Errors for Difficulty &amp; Duration.</t>
  </si>
  <si>
    <t>TC_CP_05</t>
  </si>
  <si>
    <t>Verify Back Button</t>
  </si>
  <si>
    <t>1. Click Back.</t>
  </si>
  <si>
    <t>1. Navigates to Practice List.</t>
  </si>
  <si>
    <t>Verify the end-to-end workflow for Trainee class enrollment and learning activities. Ensure Trainees can browse available classes, perform enrollment actions, and verify their enrollment status. Verify that enrolled Trainees can access 'My Classes', view the class schedule, access all learning materials (Sections, Documents, Videos), and correctly track their learning progress throughout the course.</t>
  </si>
  <si>
    <t>Assign Trainee to Class</t>
  </si>
  <si>
    <t>TC_CLASS_ASSIGN_01</t>
  </si>
  <si>
    <t>Verify Add Trainee Modal UI</t>
  </si>
  <si>
    <t>1. Click the "Add Trainee" button.
2. Observe the modal.</t>
  </si>
  <si>
    <t>1. Modal title is "Add Trainee".
2. A list of trainees is displayed (Name, Email, Phone).
3. Search bar and checkboxes are visible.
4. "Cancel" and "Add" buttons are present.</t>
  </si>
  <si>
    <t>1. Admin is logged in.
2. A Class exists.
3. Admin is on "Class Detail" page.</t>
  </si>
  <si>
    <t>TC_CLASS_ASSIGN_02</t>
  </si>
  <si>
    <t>Add Single Trainee Successfully</t>
  </si>
  <si>
    <t>1. Select (tick) 1 trainee.
2. Click "Add".</t>
  </si>
  <si>
    <t>1. Modal closes.
2. Success toast message appears.
3. The selected trainee is added to the class list.</t>
  </si>
  <si>
    <t>1. Admin is on "Class Detail" page.
2. "Add Trainee" modal is open.
3. At least 1 trainee exists.</t>
  </si>
  <si>
    <t>TC_CLASS_ASSIGN_03</t>
  </si>
  <si>
    <t>Add Multiple Trainees Successfully</t>
  </si>
  <si>
    <t>1. Select multiple trainees (e.g., 3 trainees).
2. Click "Add".</t>
  </si>
  <si>
    <t>1. Modal closes.
2. Success message: "Trainees added successfully".
3. All selected trainees appear in the list.</t>
  </si>
  <si>
    <t>1. Admin is on "Class Detail" page.
2. "Add Trainee" modal is open.
3. Multiple trainees exist.</t>
  </si>
  <si>
    <t>TC_CLASS_ASSIGN_04</t>
  </si>
  <si>
    <t>1. Do not select any trainee.
2. Click "Add".</t>
  </si>
  <si>
    <t>1. System does not proceed.
2. The "Add" button is disabled OR a warning message appears ("Please select at least one trainee").</t>
  </si>
  <si>
    <t>1. Admin is on "Class Detail" page.
2. "Add Trainee" modal is open.</t>
  </si>
  <si>
    <t>TC_CLASS_ASSIGN_05</t>
  </si>
  <si>
    <t>Close Modal without Adding</t>
  </si>
  <si>
    <t>1. Select a trainee (optional).
2. Click "Cancel" or the "X" close button.</t>
  </si>
  <si>
    <t>1. Modal closes.
2. No trainee is added to the class.</t>
  </si>
  <si>
    <t>Trainee Confirm Enrollment</t>
  </si>
  <si>
    <t>TC_ENROLL_01</t>
  </si>
  <si>
    <t>Verify "Confirm Enrollment" modal display</t>
  </si>
  <si>
    <t>1. Login as a Trainee.2. Navigate to Course Detail page.3. Locate a class with Status "OPEN".4. Click the "Enroll" button on the class card.</t>
  </si>
  <si>
    <t>1. "Confirm Enrollment" modal appears.2. Modal displays correctly:- Header: "Confirm Enrollment"- Class Name &amp; Class Code (e.g., TestNo1)- Dates: Start Date, End Date- Status tag (OPEN)- Note text- Buttons: "Cancel", "Enroll Now"</t>
  </si>
  <si>
    <t>User is on the Course Detail page. At least one class is available for enrollment.</t>
  </si>
  <si>
    <t>TC_ENROLL_02</t>
  </si>
  <si>
    <t>Verify Class Information accuracy in Modal</t>
  </si>
  <si>
    <t>1. Note the Class Code and Dates on the class card (outside modal).2. Click "Enroll" button on that specific card.3. Compare information in Modal with the card.</t>
  </si>
  <si>
    <t>information in the modal (Class Name, Code, Start Date, End Date) MUST match exactly with the selected class card.</t>
  </si>
  <si>
    <t>same as above</t>
  </si>
  <si>
    <t>TC_ENROLL_03</t>
  </si>
  <si>
    <t>Enroll successfully (Positive Case)</t>
  </si>
  <si>
    <t>1. Open "Confirm Enrollment" modal.2. Click "Enroll Now" button.3. Wait for system response.</t>
  </si>
  <si>
    <t>1. Loading state may appear briefly.2. Success message is displayed (e.g., "Enrolled successfully").3. Modal closes.4. Button on the class card changes status (e.g., to "Pending" or "Enrolled").</t>
  </si>
  <si>
    <t>User is not yet enrolled in this class.</t>
  </si>
  <si>
    <t>TC_ENROLL_04</t>
  </si>
  <si>
    <t>Cancel enrollment via "Cancel" button</t>
  </si>
  <si>
    <t>1. Open "Confirm Enrollment" modal.2. Click "Cancel" white button.</t>
  </si>
  <si>
    <t>1. Modal closes immediately.2. User remains on the Course Page.3. No enrollment request is sent.</t>
  </si>
  <si>
    <t>Modal is open.</t>
  </si>
  <si>
    <t>TC_ENROLL_05</t>
  </si>
  <si>
    <t>Cancel enrollment via "X" (Close) icon</t>
  </si>
  <si>
    <t>1. Open "Confirm Enrollment" modal.2. Click the "X" icon at the top-right corner of the modal.</t>
  </si>
  <si>
    <t>1. Modal closes immediately.2. User remains on the Course Page.</t>
  </si>
  <si>
    <t>TC_ENROLL_06</t>
  </si>
  <si>
    <t>Verify UI responsiveness (Hover effects)</t>
  </si>
  <si>
    <t>1. Hover mouse over "Cancel" button.2. Hover mouse over "Enroll Now" button.</t>
  </si>
  <si>
    <t>1. "Cancel" button should show hover effect (e.g., gray background).2. "Enroll Now" button should show hover effect (e.g., darker blue).</t>
  </si>
  <si>
    <t>TC_ENROLL_07</t>
  </si>
  <si>
    <t>Handle API Error during Enrollment (Negative)</t>
  </si>
  <si>
    <t>1. Open "Confirm Enrollment" modal.2. Disconnect internet OR simulate server error.3. Click "Enroll Now".</t>
  </si>
  <si>
    <t>1. Error message is displayed (e.g., "Registration failed, please try again").2. Modal remains open or closes depending on logic (usually stays to retry).</t>
  </si>
  <si>
    <t>Admin Confirm Trainee Enrollment</t>
  </si>
  <si>
    <t>TC_ADM_CONFIRM_01</t>
  </si>
  <si>
    <t>Verify "Pending" status display</t>
  </si>
  <si>
    <t>1. Login as Admin.2. Navigate to Class Detail page of a class having pending enrollments.3. Scroll down to "Members" table section.4. Observe the user with "Pending" status tag.</t>
  </si>
  <si>
    <t>1. The member row is displayed.2. Status column shows a yellow tag "Pending".3. Action column shows two icons: Check (Approve) and X (Reject).</t>
  </si>
  <si>
    <t>A trainee has enrolled in the class but not yet approved.</t>
  </si>
  <si>
    <t>TC_ADM_CONFIRM_02</t>
  </si>
  <si>
    <t>Approve Request successfully</t>
  </si>
  <si>
    <t>1. In the Members table, locate a user with "Pending" status.2. Click the blue Check (✓) icon.3. Confirm the action if a popup appears.</t>
  </si>
  <si>
    <t>1. A success message appears (e.g., "Trainee approved successfully").2. The status tag changes from "Pending" to "Enrolled" (or "Active").3. The Action icons (Check/X) disappear or change to other management actions (like remove).</t>
  </si>
  <si>
    <t>Trainee status is pending.</t>
  </si>
  <si>
    <t>TC_ADM_CONFIRM_03</t>
  </si>
  <si>
    <t>Reject Request successfully</t>
  </si>
  <si>
    <t>1. In the Members table, locate a user with "Pending" status.2. Click the red X icon.3. Confirm the action in the confirmation popup.</t>
  </si>
  <si>
    <t>1. A success message appears (e.g., "Trainee rejected successfully").2. The trainee is removed from the list OR status changes to "Rejected".3. The seat count (Capacity) remains unchanged or updates accordingly.</t>
  </si>
  <si>
    <t>TC_ADM_CONFIRM_04</t>
  </si>
  <si>
    <t>Cancel Rejection Action</t>
  </si>
  <si>
    <t>1. Click the red X icon for a pending trainee.2. In the confirmation popup, click "Cancel".</t>
  </si>
  <si>
    <t>1. The popup closes.2. The trainee's status remains "Pending".3. No changes are applied.</t>
  </si>
  <si>
    <t>TC_ADM_CONFIRM_05</t>
  </si>
  <si>
    <t>Verify Pagination with Pending Users</t>
  </si>
  <si>
    <t>1. Ensure there are many pending requests (more than page size, e.g., &gt; 10).2. Navigate to the next page of the members list.3. Approve a user on page 2.</t>
  </si>
  <si>
    <t>1. User is approved.2. Admin remains on page 2 (or returns to page 1 if list becomes empty, depending on logic).3. Pagination updates correctly.</t>
  </si>
  <si>
    <t>11+ pending trainees exist.</t>
  </si>
  <si>
    <t>TC_ADM_CONFIRM_06</t>
  </si>
  <si>
    <t>Approve User when Class is Full (Edge Case)</t>
  </si>
  <si>
    <t>1. Ensure the class capacity is full (e.g., 10/10 enrolled).2. Try to approve another "Pending" trainee provided the system allowed over-requesting.</t>
  </si>
  <si>
    <t>1. System validates capacity.2. An error message appears (e.g., "Class is full, cannot approve more trainees").3. User status remains "Pending".</t>
  </si>
  <si>
    <t>Class is full. 1 Pending request exists.</t>
  </si>
  <si>
    <t>My Class Detail</t>
  </si>
  <si>
    <t>TC_LEARN_TAB_01</t>
  </si>
  <si>
    <t>Verify Learning Tab structure</t>
  </si>
  <si>
    <t>1. Access "My Classes" list.2. Select a class marked "IN PROGRESS".3. Verify the "Học tập" (Learning) tab is active by default.</t>
  </si>
  <si>
    <t>1. "Học tập" tab is highlighted.2. List of Chapters/Sections is displayed (marked 1, 2, 3...).3. Right side shows "Giảng viên" info and "Lịch học" (Schedule).</t>
  </si>
  <si>
    <t>Trainee is enrolled in at least one active class.</t>
  </si>
  <si>
    <t>TC_LEARN_TAB_02</t>
  </si>
  <si>
    <t>Verify Section Progress display</t>
  </si>
  <si>
    <t>1. Observe the progress bar under each Section item (e.g., Section 1).2. Compare with the known progress (e.g., new class = 0%).</t>
  </si>
  <si>
    <t>1. Progress bar shows correct percentage (e.g., 0%).2. Duration (e.g., "60 phút") is displayed correctly.</t>
  </si>
  <si>
    <t>Class has content.</t>
  </si>
  <si>
    <t>TC_LEARN_NAV_01</t>
  </si>
  <si>
    <t>Navigate to Learning Interface</t>
  </si>
  <si>
    <t>1. Click on a Section item (e.g., "1").</t>
  </si>
  <si>
    <t>1. System redirects to the Learning Interface URL (e.g., /learnings/...
).2. The clicked section is automatically expanded in the sidebar.</t>
  </si>
  <si>
    <t>-</t>
  </si>
  <si>
    <t>(Learning Interface) &amp; Logic Session</t>
  </si>
  <si>
    <t>TC_LEARN_UI_01</t>
  </si>
  <si>
    <t>Verify Sidebar &amp; Content Area</t>
  </si>
  <si>
    <t>1. Access the Learning Interface.2. Observe layout.</t>
  </si>
  <si>
    <t>1. Left Sidebar: Shows Chapters, Lessons (Video 1, PDF 1...).2. Main Area: Displays content of the selected lesson.3. Progress Header: Shows "Tiến độ của bạn" (e.g., 0/7 Hoạt động).</t>
  </si>
  <si>
    <t>TC_LEARN_SESSION_01</t>
  </si>
  <si>
    <t>Verify "Session not started" Warning (Logic Check)</t>
  </si>
  <si>
    <t>1. Navigate to a lesson where the scheduled Start Time is in the future (e.g., Start: 10/02/2026).2. Observe the main content area.</t>
  </si>
  <si>
    <t>1. A yellow warning banner appears: "Phiên học chưa bắt đầu".2. Start and End times are displayed clearly.3. Content (Video/Exam) might be visible but functions (like "Mark as Complete") should be restricted.</t>
  </si>
  <si>
    <t>Lesson schedule is set to a future date.</t>
  </si>
  <si>
    <t>TC_LEARN_SESSION_02</t>
  </si>
  <si>
    <t>Attempt to complete locked session</t>
  </si>
  <si>
    <t>1. Open a lesson with "Session not started" warning.2. Try to click "Mark as Complete" or Submit button (if available).</t>
  </si>
  <si>
    <t>1. System shows an alert/error: "Session is not open" (or Vietnamese equivalent).2. Progress does NOT update.</t>
  </si>
  <si>
    <t>Session is closed/not started.</t>
  </si>
  <si>
    <t>TC_LEARN_VIDEO_01</t>
  </si>
  <si>
    <t>Verify Video Content Playback</t>
  </si>
  <si>
    <t>1. Select a Video lesson (within an open session).2. Verify the video player loads.</t>
  </si>
  <si>
    <t>1. Video player appears (YouTube/Uploaded file).2. Video title matches the sidebar name.3. Video can be played/paused.</t>
  </si>
  <si>
    <t>Session is OPEN.</t>
  </si>
  <si>
    <t>TC_LEARN_PDF_01</t>
  </si>
  <si>
    <t>Verify PDF/Document Content</t>
  </si>
  <si>
    <t>1. Select a PDF or Document lesson.2. Verify the viewer loads.</t>
  </si>
  <si>
    <t>1. Document viewer appears.2. Document content is readable.</t>
  </si>
  <si>
    <t>TC_LEARN_PROG_01</t>
  </si>
  <si>
    <t>Verify Progress Update</t>
  </si>
  <si>
    <t>1. Complete a lesson (e.g., watch video and click "Mark as Complete").2. Observe the sidebar checklist and progress bar.</t>
  </si>
  <si>
    <t>1. Checkmark appears next to the lesson in Sidebar.2. "Tiến độ của bạn" increases (e.g., from 0/7 to 1/7).3. Progress bar updates percentage.</t>
  </si>
  <si>
    <t>Video Material</t>
  </si>
  <si>
    <t>TC_MAT_VID_01</t>
  </si>
  <si>
    <t>Verify YouTube video playback</t>
  </si>
  <si>
    <t>1. Open a lesson containing a YouTube URL.2. Check if the player is an iframe embedding YouTube.3. Play the video.</t>
  </si>
  <si>
    <t>1. Content loads via YouTube iframe.2. Video plays correctly.</t>
  </si>
  <si>
    <t>Session is Open. YouTube URL is valid.</t>
  </si>
  <si>
    <t>TC_MAT_VID_02</t>
  </si>
  <si>
    <t>Auto-complete Native Video</t>
  </si>
  <si>
    <t>1. Play the native video.2. Drag the seek bar near the end (e.g., &gt; 95%).3. Let it play until it crosses 95% or finishes.</t>
  </si>
  <si>
    <t>1. Logic detect percent &gt;= 95
.2. isCompleted
 state becomes true.3. Progress bar jumps to 100%.4. "Mark as Complete" API is triggered automatically.</t>
  </si>
  <si>
    <t>Session is Open.</t>
  </si>
  <si>
    <t>TC_MAT_VID_03</t>
  </si>
  <si>
    <t>Manual Complete for YouTube</t>
  </si>
  <si>
    <t>1. Open a YouTube video lesson.2. Verify "Mark as Complete" button is visible.3. Click the button.</t>
  </si>
  <si>
    <t>1. isCompleted
 status updates to true.2. UI shows green "Completed" badge.3. Success message or API call occurs.</t>
  </si>
  <si>
    <t>Session is Open. Video type is YouTube.</t>
  </si>
  <si>
    <t>TC_MAT_VID_04</t>
  </si>
  <si>
    <t>Video with Future Session (Not Started)</t>
  </si>
  <si>
    <t>1. Open a video lesson scheduled for the future.2. Attempt to watch.3. Try to complete.</t>
  </si>
  <si>
    <t>1. Yellow Warning Banner appears: "Start: [Date] - End: [Date]".2. Video might still play (depending on hiding logic, currently code allows play).3. Auto-complete logic is DISABLED (checking !isSessionOpen
 prevents state update).4. "Mark as Complete" button (if visible) does nothing or is disabled.</t>
  </si>
  <si>
    <t>Session Start Date &gt; Current Date.</t>
  </si>
  <si>
    <t>TC_MAT_VID_05</t>
  </si>
  <si>
    <t>Video with Expired Session</t>
  </si>
  <si>
    <t>1. Open a video lesson where endTime
 has passed.2. Attempt to mark complete.</t>
  </si>
  <si>
    <t>1. Red Warning Banner appears: "Session Expired".2. Completion logic is disabled.</t>
  </si>
  <si>
    <t>Session End Date &lt; Current Date.</t>
  </si>
  <si>
    <t>Reading/PDF Material</t>
  </si>
  <si>
    <t>TC_MAT_DOC_01</t>
  </si>
  <si>
    <t>Verify PDF Viewer Display</t>
  </si>
  <si>
    <t>1. Open a PDF lesson.2. Check the main content area.</t>
  </si>
  <si>
    <t>1. PDF loads inside an iframe
 (with standard PDF toolbar disabled/enabled as per config).2. Document is readable.</t>
  </si>
  <si>
    <t>TC_MAT_DOC_02</t>
  </si>
  <si>
    <t>Mark Document as Complete</t>
  </si>
  <si>
    <t>1. Scroll through the document (optional).2. Click the blue "Mark as Complete" button at the footer.</t>
  </si>
  <si>
    <t>1. Button state/UI updates to "Completed".2. Green "Reading Progress 100%" card appears below.3. API request to save progress is sent.</t>
  </si>
  <si>
    <t>TC_MAT_DOC_03</t>
  </si>
  <si>
    <t>Mark Document with Closed Session</t>
  </si>
  <si>
    <t>1. Open a PDF lesson where Session is Not Started or Expired.2. Verify "Mark as Complete" button.</t>
  </si>
  <si>
    <t>1. Warning Banner appears at the top.2. The "Mark as Complete" button is DISABLED (grayed out) or clicking it shows an alert.3. Progress cannot be saved.</t>
  </si>
  <si>
    <t>Session is Closed.</t>
  </si>
  <si>
    <t>TC_MAT_DOC_04</t>
  </si>
  <si>
    <t>Verify Completed State UI</t>
  </si>
  <si>
    <t>1. Open a previously completed PDF lesson.2. Observe footer and header.</t>
  </si>
  <si>
    <t>1. Header shows green "Completed" tag.2. Footer shows "Completed" status with Check icon.3. "Mark as Complete" button is hidden.</t>
  </si>
  <si>
    <t>Lesson is already completed.</t>
  </si>
  <si>
    <t>Quiz function (Trainee Quiz)</t>
  </si>
  <si>
    <t>Start Screen</t>
  </si>
  <si>
    <t>TC_QUIZ_START_01</t>
  </si>
  <si>
    <t>Verify Quiz Info Display</t>
  </si>
  <si>
    <t>1. Navigate to a Quiz lesson.2. Observe the Start Screen information.</t>
  </si>
  <si>
    <t>1. Quiz Name &amp; Description are correct.2. Time Limit, Number of Questions, Pass Score match data.3. Instructions list is visible.</t>
  </si>
  <si>
    <t>TC_QUIZ_START_02</t>
  </si>
  <si>
    <t>Verify "Start Quiz" Button</t>
  </si>
  <si>
    <t>1. Check the "Start Quiz" button.</t>
  </si>
  <si>
    <t>1. Button is enabled and clickable.2. Clicking it switches view to the Attempt Screen.</t>
  </si>
  <si>
    <t>TC_QUIZ_START_03</t>
  </si>
  <si>
    <t>Start Quiz with Future/Expired Session</t>
  </si>
  <si>
    <t>1. Access a Quiz where Session is Not Started or Expired.2. Observe the Start Screen.</t>
  </si>
  <si>
    <t>1. Warning Banner appears (Yellow for Future, Red for Expired).2. "Start Quiz" button is DISABLED (cannot click).</t>
  </si>
  <si>
    <t>Attempting</t>
  </si>
  <si>
    <t>TC_QUIZ_ATTEMPT_01</t>
  </si>
  <si>
    <t>Verify Timer Functionality</t>
  </si>
  <si>
    <t>1. Click "Start Quiz".2. Observe the sticky header timer.3. Wait for 1 minute.</t>
  </si>
  <si>
    <t>1. Timer starts counting down from Time Limit (e.g., 20:00 -&gt; 19:59).2. Timer updates every second.</t>
  </si>
  <si>
    <t>TC_QUIZ_ATTEMPT_02</t>
  </si>
  <si>
    <t>Answer Single Choice Question</t>
  </si>
  <si>
    <t>1. Locate a Single Choice question (Radio button).2. Select an option.</t>
  </si>
  <si>
    <t>1. Option is selected.2. "Answered" count increases in header.3. Question card tag changes from "Unanswered" to "Answered".</t>
  </si>
  <si>
    <t>TC_QUIZ_ATTEMPT_03</t>
  </si>
  <si>
    <t>Answer Multiple Choice Question</t>
  </si>
  <si>
    <t>1. Locate a Multiple Choice question (Checkbox).2. Select multiple options.</t>
  </si>
  <si>
    <t>1. Options are selected.2. "Answered" tag updates.</t>
  </si>
  <si>
    <t>TC_QUIZ_ATTEMPT_04</t>
  </si>
  <si>
    <t>Verify Sticky Header Progress</t>
  </si>
  <si>
    <t>1. Answer 1/2 of the questions.2. Scroll down.</t>
  </si>
  <si>
    <t>1. Header remains stuck at top.2. Progress bar and "Answered count" reflect current progress (e.g., 5/10).</t>
  </si>
  <si>
    <t>TC_QUIZ_ATTEMPT_05</t>
  </si>
  <si>
    <t>Auto-Submit on Timeout</t>
  </si>
  <si>
    <t>1. Start a quiz with short duration (or wait until timer hits 00:00).</t>
  </si>
  <si>
    <t>1. When timer reaches 0, system automatically triggers submit.2. Loading spinner "Submitting your answers..." appears.3. Redirects to Result Screen.</t>
  </si>
  <si>
    <t>Result &amp; Submission</t>
  </si>
  <si>
    <t>TC_QUIZ_RESULT_01</t>
  </si>
  <si>
    <t>Manual Submit Success</t>
  </si>
  <si>
    <t>1. Answer all questions.2. Click "Submit" button.3. Wait for API response.</t>
  </si>
  <si>
    <t>1. Loading spinner appears.2. View switches to Result Screen.3. Results are displayed immediately (Score, Pass/Fail status).</t>
  </si>
  <si>
    <t>TC_QUIZ_RESULT_02</t>
  </si>
  <si>
    <t>Verify Passed Result UI</t>
  </si>
  <si>
    <t>1. Complete a quiz with score &gt;= Pass Score.</t>
  </si>
  <si>
    <t>1. Green "Passed" badge.2. Green Trophy icon.3. Success Alert "Congratulations...".4. Score circle is green.</t>
  </si>
  <si>
    <t>TC_QUIZ_RESULT_03</t>
  </si>
  <si>
    <t>Verify Failed Result UI</t>
  </si>
  <si>
    <t>1. Complete a quiz with score &lt; Pass Score.</t>
  </si>
  <si>
    <t>1. Red "Not Passed" badge.2. Red X-Circle icon.3. Error Alert "You did not pass...".4. Score circle is red.</t>
  </si>
  <si>
    <t>TC_QUIZ_RESULT_04</t>
  </si>
  <si>
    <t>Verify Retake Functionality</t>
  </si>
  <si>
    <t>1. On Result Screen, click "Retake Quiz".</t>
  </si>
  <si>
    <t>1. View switches back to Start Screen.2. User can start a new attempt.</t>
  </si>
  <si>
    <t>Attendance History</t>
  </si>
  <si>
    <t>TC_ATT_VIEW_01</t>
  </si>
  <si>
    <t>Verify Attendance Tab Display</t>
  </si>
  <si>
    <t>1. Access Class Detail page.2. Click on "Attendance" (Điểm danh) tab.</t>
  </si>
  <si>
    <t>1. A table is displayed with columns: Slot, Date, Location, Status.2. List is loaded automatically without user action.</t>
  </si>
  <si>
    <t>Trainee is enrolled in a class with scheduled slots.</t>
  </si>
  <si>
    <t>TC_ATT_VIEW_02</t>
  </si>
  <si>
    <t>Verify "NotStarted" Status</t>
  </si>
  <si>
    <t>1. Find a slot with a date in the future (e.g., 09/12/2025).2. Observe the "Status" column.</t>
  </si>
  <si>
    <t>1. The status tag is Red (or specific color defined like red-inverse
).2. Text displays "NotStarted" (or similar "Absent" depending on backend if default).</t>
  </si>
  <si>
    <t>Future slot exists.</t>
  </si>
  <si>
    <t>TC_ATT_VIEW_03</t>
  </si>
  <si>
    <t>Verify "Present" Status</t>
  </si>
  <si>
    <t>1. Find a slot where attendance was marked as Present.2. Observe the "Status" column.</t>
  </si>
  <si>
    <t>1. The status tag is Green (green-inverse
).2. Text displays "Present".</t>
  </si>
  <si>
    <t>Past slot with 'Present' record exists.</t>
  </si>
  <si>
    <t>TC_ATT_VIEW_04</t>
  </si>
  <si>
    <t>Verify Slot Information</t>
  </si>
  <si>
    <t>1. Pick any row in the table.2. Check the details in the columns.</t>
  </si>
  <si>
    <t>1. Slot: Displays Name (e.g., Slot 2) AND Time Range (11:00 - 14:00).2. Date: Displays date in MM/DD/YYYY or DD/MM/YYYY format.3. Location: Displays room name (e.g., 101 - LSSCTC Q9).</t>
  </si>
  <si>
    <t>TC_ATT_VIEW_05</t>
  </si>
  <si>
    <t>Verify Empty State</t>
  </si>
  <si>
    <t>1. Access a class that has NO scheduled slots yet.2. Go to Attendance tab.</t>
  </si>
  <si>
    <t>1. Table appears but is empty.2. Message "No slots found" (or Vietnamese equivalent) is displayed.</t>
  </si>
  <si>
    <t>Class has 0 slots.</t>
  </si>
  <si>
    <t>Trainee Practice Module</t>
  </si>
  <si>
    <t>TC_PRAC_INFO_01</t>
  </si>
  <si>
    <t>Verify Practice Details Header</t>
  </si>
  <si>
    <t>1. Navigate to a Practice lesson.2. Observe the Header information and Stats cards.</t>
  </si>
  <si>
    <t>1. Header displays the correct Practice Title and Description.2. Orange "Practice" tag is visible.3. Stats cards show correct Duration and Type as "Simulator".</t>
  </si>
  <si>
    <t>TC_PRAC_INFO_02</t>
  </si>
  <si>
    <t>Verify Task List Display</t>
  </si>
  <si>
    <t>1. Check the "Practice Tasks" section.</t>
  </si>
  <si>
    <t>1. List displays all assigned tasks.2. Each task item shows the Task Name.</t>
  </si>
  <si>
    <t>Practice has tasks assigned.</t>
  </si>
  <si>
    <t>TC_PRAC_INFO_03</t>
  </si>
  <si>
    <t>Verify Empty Task List</t>
  </si>
  <si>
    <t>1. Access a Practice lesson that has 0 tasks assigned.</t>
  </si>
  <si>
    <t>1. The section Title remains visible.2. A message "No tasks assigned" is displayed in the list area.</t>
  </si>
  <si>
    <t>Practice has 0 tasks.</t>
  </si>
  <si>
    <t>TC_PRAC_INSTR_01</t>
  </si>
  <si>
    <t>Verify Instructions Display</t>
  </si>
  <si>
    <t>1. Scroll to the "How to Complete" section.2. Check the instruction steps.</t>
  </si>
  <si>
    <t>1. Steps 1 through 6 are displayed.2. Each step has a corresponding icon.</t>
  </si>
  <si>
    <t>TC_PRAC_NAV_01</t>
  </si>
  <si>
    <t>Verify "Start Practice" Navigation</t>
  </si>
  <si>
    <t>1. Click the "Start Practice" button at the bottom.</t>
  </si>
  <si>
    <t>1. System redirects the user to the Simulator page or launches the application.2. No errors occur during redirect.</t>
  </si>
  <si>
    <t>TC_PRAC_COMP_01</t>
  </si>
  <si>
    <t>1. Access a practice lesson that is fully completed.2. Observe the Header and bottom section.</t>
  </si>
  <si>
    <t>1. Header displays a green "Completed" tag.2. A "Practice Summary" card appears at the bottom.3. Overall Progress bar shows 100%.</t>
  </si>
  <si>
    <t>Practice is marked as completed.</t>
  </si>
  <si>
    <t>TC_PRAC_COMP_02</t>
  </si>
  <si>
    <t>Verify Summary Stats</t>
  </si>
  <si>
    <t>1. In the "Practice Summary" card, check the statistics.</t>
  </si>
  <si>
    <t>1. "Tasks Completed" shows the correct count (e.g., 5 / 5).2. "Average Score" displays the calculated percentage.</t>
  </si>
  <si>
    <t>TC_PRAC_SYNC_01</t>
  </si>
  <si>
    <t>Verify Partial Completion Sync</t>
  </si>
  <si>
    <t>1. Complete only a few tasks (e.g., 2 out of 5) in the Simulator.2. Return to the Web App and refresh.</t>
  </si>
  <si>
    <t>1. Header status remains "In Progress".2. Task list shows green checkmarks for completed tasks only.3. The Summary Card is hidden.</t>
  </si>
  <si>
    <t>Partial data sent from Simulator.</t>
  </si>
  <si>
    <t>TC_PRAC_SYNC_02</t>
  </si>
  <si>
    <t>Verify Score Calculation</t>
  </si>
  <si>
    <t>1. Complete tasks with different scores (e.g., 80, 90, 100).2. Check the "Average Score" in the Summary Card.</t>
  </si>
  <si>
    <t>1. The displayed score matches the average of all task scores.2. The value is rounded to the nearest integer.</t>
  </si>
  <si>
    <t>All tasks are completed.</t>
  </si>
  <si>
    <t>TC_PRAC_EDGE_01</t>
  </si>
  <si>
    <t>Handle Failed Tasks Display</t>
  </si>
  <si>
    <t>1. Attempt a task in Simulator but fail it (Pass = False).2. Check the Task List on Web.</t>
  </si>
  <si>
    <t>1. The specific task is marked as Incomplete or shows a failed status icon.2. The overall Practice status remains "In Progress".</t>
  </si>
  <si>
    <t>Task attempt recorded as Failed.</t>
  </si>
  <si>
    <t>TC_PRAC_SESS_01</t>
  </si>
  <si>
    <t>Practice with Expired Session</t>
  </si>
  <si>
    <t>1. Open a Practice lesson where the Session End Date has passed.2. Observe the UI and "Start" button.</t>
  </si>
  <si>
    <t>1. A Red Warning Banner "Session Expired" is displayed.2. "Start Practice" button may be active but results will not be recorded.</t>
  </si>
  <si>
    <t>Session is Closed / Expired.</t>
  </si>
  <si>
    <t>Verify the integration mechanism between the Web Application and the 3D Simulation Client. Ensure that the 'Start Practice' action correctly triggers the external application with valid authentication tokens (Deep Linking/Handshake). Verify that practice results (Score, Duration, Completion Status) are successfully synchronized from the Simulator back to the Web App database upon session termination.</t>
  </si>
  <si>
    <t>TC_SIM_WEB_01</t>
  </si>
  <si>
    <t>Verify Simulator Launch Button</t>
  </si>
  <si>
    <t>1. Login as Trainee.2. Navigate to a Practice Lesson.3. Locate action button.</t>
  </si>
  <si>
    <t>1. "Start Practice" (Start Simulation) button is visible.2. Button is distinct (e.g., Primary color).</t>
  </si>
  <si>
    <t>Session Open.</t>
  </si>
  <si>
    <t>TC_SIM_WEB_02</t>
  </si>
  <si>
    <t>Launch Simulator (Redirect)</t>
  </si>
  <si>
    <t>1. Click "Start Practice".</t>
  </si>
  <si>
    <t>1. Redirects to Simulation Page OR triggers App Launch.2. No 404/Page Not Found error.</t>
  </si>
  <si>
    <t>TC_SIM_WEB_03</t>
  </si>
  <si>
    <t>Check Session Status on Launch</t>
  </si>
  <si>
    <t>1. Attempt launch when Session is Closed/Future.</t>
  </si>
  <si>
    <t>1. Warning banner displayed.2. Launch action is restricted OR warning given about "No Scoring".</t>
  </si>
  <si>
    <t>Session Closed.</t>
  </si>
  <si>
    <t>TC_SIM_WEB_04</t>
  </si>
  <si>
    <t>Verify Identity Handshake</t>
  </si>
  <si>
    <t>1. Launch Simulator.2. Check URL/Payload.</t>
  </si>
  <si>
    <t>1. User ID / Token is passed correctly to initialize the simulation session.</t>
  </si>
  <si>
    <t>TC_SIM_WEB_05</t>
  </si>
  <si>
    <t>Sync Completion Status</t>
  </si>
  <si>
    <t>1. Finish practice in Simulator.2. Refresh Web Page.</t>
  </si>
  <si>
    <t>1. Status updates to "Completed".2. Success indicators (Badge/Icon) appear.</t>
  </si>
  <si>
    <t>Sim Sync Success.</t>
  </si>
  <si>
    <t>TC_SIM_WEB_06</t>
  </si>
  <si>
    <t>Display Scores from Simulator</t>
  </si>
  <si>
    <t>1. Finish with varying scores.2. View Web Details.</t>
  </si>
  <si>
    <t>1. Task list reflects actual scores/Pass-Fail status from Simulator.2. Average calculations update.</t>
  </si>
  <si>
    <t>TC_SIM_WEB_07</t>
  </si>
  <si>
    <t>Display Attempt History</t>
  </si>
  <si>
    <t>1. Navigate to Practice Details.2. Look for log/history.</t>
  </si>
  <si>
    <t>1. List of attempts/steps from Simulator is visible.</t>
  </si>
  <si>
    <t>TC_SIM_WEB_08</t>
  </si>
  <si>
    <t>Handle Incomplete Attempts</t>
  </si>
  <si>
    <t>1. Exit Simulator early.2. Check Web Status.</t>
  </si>
  <si>
    <t>1. Status remains "In Progress".2. Re-launch allowed.</t>
  </si>
  <si>
    <t>TC_SIM_WEB_09</t>
  </si>
  <si>
    <t>Validate Max Attempts</t>
  </si>
  <si>
    <t>1. Reach max allowed attempts.2. Check Launch Button.</t>
  </si>
  <si>
    <t>1. Button disabled OR text changes to "Review Mode".</t>
  </si>
  <si>
    <t>Limit reached.</t>
  </si>
  <si>
    <t>Verify the complete workflow for accessing exam details, validating open codes, taking exams (Theory/Simulation), and viewing results for all exam types.</t>
  </si>
  <si>
    <t>Test Case Specifications: Trainee Final Exam (Theory)</t>
  </si>
  <si>
    <t>TC_EXAM_01</t>
  </si>
  <si>
    <t>View Exam Info Successfully (Happy Case)</t>
  </si>
  <si>
    <t>1. Navigate to Final Exam page.2. Wait for loading.</t>
  </si>
  <si>
    <t>1. Exam Name, Description, Duration, Weight are displayed.2. Instructions are listed.3. Status shows "Not Started".</t>
  </si>
  <si>
    <t>Exam exists.</t>
  </si>
  <si>
    <t>TC_EXAM_02</t>
  </si>
  <si>
    <t>Start Exam with Valid Code (Happy Case)</t>
  </si>
  <si>
    <t>1. Enter correct code in "Open Code" input.2. Click "Start Exam".</t>
  </si>
  <si>
    <t>1. System verifies code.2. Redirects to "Exam Taking" page.3. Timer starts immediately.</t>
  </si>
  <si>
    <t>Valid Open Code.</t>
  </si>
  <si>
    <t>TC_EXAM_03</t>
  </si>
  <si>
    <t>Timer Countdown Normal (Happy Case)</t>
  </si>
  <si>
    <t>1. Observe timer on taking page.</t>
  </si>
  <si>
    <t>1. Timer decreases by 1 second intervals.2. Visual style is Blue/Green (Normal).</t>
  </si>
  <si>
    <t>Exam started.</t>
  </si>
  <si>
    <t>TC_EXAM_04</t>
  </si>
  <si>
    <t>Select Answers &amp; Nav (Happy Case)</t>
  </si>
  <si>
    <t>1. Choose Option A for Q1.2. Click "Next" button.</t>
  </si>
  <si>
    <t>1. Option A is selected visually.2. View changes to Q2.3. Sidebar Q1 turns Blue (Answered).</t>
  </si>
  <si>
    <t>TC_EXAM_05</t>
  </si>
  <si>
    <t>Sidebar Navigation (Happy Case)</t>
  </si>
  <si>
    <t>1. Click Question 5 in Sidebar.</t>
  </si>
  <si>
    <t>1. Main view jumps directly to Q5.</t>
  </si>
  <si>
    <t>TC_EXAM_06</t>
  </si>
  <si>
    <t>Submit &amp; Pass (Happy Case)</t>
  </si>
  <si>
    <t>1. Answer all questions correctly.2. Click "Submit".3. Confirm "Yes".</t>
  </si>
  <si>
    <t>1. Redirects to Result page.2. Shows Green "Congratulations".3. Shows Score &amp; "Passed" status.</t>
  </si>
  <si>
    <t>Score &gt;= Pass Criteria.</t>
  </si>
  <si>
    <t>TC_EXAM_07</t>
  </si>
  <si>
    <t>Submit &amp; Fail (Happy Case)</t>
  </si>
  <si>
    <t>1. Answer answers incorrectly.2. Click "Submit".3. Confirm "Yes".</t>
  </si>
  <si>
    <t>1. Redirects to Result page.2. Shows Red "Failed" message.3. Shows Score &amp; "Not Passed" status.</t>
  </si>
  <si>
    <t>Score &lt; Pass Criteria.</t>
  </si>
  <si>
    <t>TC_EXAM_08</t>
  </si>
  <si>
    <t>Invalid Open Code (Non-Happy)</t>
  </si>
  <si>
    <t>1. Enter wrong code.2. Click "Start Exam".</t>
  </si>
  <si>
    <t>1. Error message: "Mã đề không hợp lệ" appears.2. Exam does NOT start.</t>
  </si>
  <si>
    <t>TC_EXAM_09</t>
  </si>
  <si>
    <t>Refresh Page Persistence (Non-Happy)</t>
  </si>
  <si>
    <t>1. Answer Q1.2. Refresh page (F5).</t>
  </si>
  <si>
    <t>1. Page reloads but stays on Exam.2. Q1 answer is preserved (from Storage).3. Timer continues correctly (not reset).</t>
  </si>
  <si>
    <t>TC_EXAM_10</t>
  </si>
  <si>
    <t>Network Error on Submit (Non-Happy)</t>
  </si>
  <si>
    <t>1. Disconnect Internet.2. Click "Submit".</t>
  </si>
  <si>
    <t>1. Error message "Network Error/Failed" appears.2. User stays on page (Answers NOT lost).</t>
  </si>
  <si>
    <t>No Internet.</t>
  </si>
  <si>
    <t>TC_EXAM_11</t>
  </si>
  <si>
    <t>Tab Switching Violation 1 (Security)</t>
  </si>
  <si>
    <t>1. Switch to another tab.2. Return after 5s.</t>
  </si>
  <si>
    <t>1. Warning Overlay appears: "Warning 1/2".2. Violation count increases.</t>
  </si>
  <si>
    <t>TC_EXAM_12</t>
  </si>
  <si>
    <t>Tab Switching Violation 2 (Security)</t>
  </si>
  <si>
    <t>1. Repeat Tab Switching again.</t>
  </si>
  <si>
    <t>1. Overlay: "Final Warning/Cancelled".2. Exam auto-submits with Score 0.</t>
  </si>
  <si>
    <t>Violation 1 recorded.</t>
  </si>
  <si>
    <t>TC_EXAM_13</t>
  </si>
  <si>
    <t>Screenshot Attempt (Security)</t>
  </si>
  <si>
    <t>1. Press PrintScreen
 key.</t>
  </si>
  <si>
    <t>1. Warning Overlay appears: "Screenshot detected".</t>
  </si>
  <si>
    <t>TC_EXAM_14</t>
  </si>
  <si>
    <t>Timeout Auto-Submit (Edge Case)</t>
  </si>
  <si>
    <t>1. Let Timer reach 00:00.</t>
  </si>
  <si>
    <t>1. Exam auto-submits immediately.2. Forced redirection to Result page.</t>
  </si>
  <si>
    <t>TC_EXAM_15</t>
  </si>
  <si>
    <t>Prevent Back Button (Edge Case)</t>
  </si>
  <si>
    <t>1. Click Browser Back button.</t>
  </si>
  <si>
    <t>1. Browser popup warns: "Changes may not be saved".2. User stays on page if "Cancel" is clicked.</t>
  </si>
  <si>
    <t>Test Case Specifications: Trainee Final Exam (Simulation)</t>
  </si>
  <si>
    <t>TC_SIM_EXAM_01</t>
  </si>
  <si>
    <t>Verify Simulation Exam Info UI</t>
  </si>
  <si>
    <t>1. Navigate to a Final Exam page (Type: Simulation).2. Check the details card.</t>
  </si>
  <si>
    <t>1. Exam Type shows "Simulation".2. Duration, Weight, and Instructions are displayed.3. Status is "Not Started".</t>
  </si>
  <si>
    <t>TC_SIM_EXAM_02</t>
  </si>
  <si>
    <t>Start Simulation with Valid Code</t>
  </si>
  <si>
    <t>1. Enter valid Open Code.2. Click "Start Exam".</t>
  </si>
  <si>
    <t>1. API startSimulationExam
 is called.2. System navigates to the "Taking" page OR displays a "Simulator Access Token" / Credentials.3. Status changes to "In Progress".</t>
  </si>
  <si>
    <t>TC_SIM_EXAM_03</t>
  </si>
  <si>
    <t>Start Simulation with Invalid Code</t>
  </si>
  <si>
    <t>1. Enter invalid/wrong Open Code.2. Click "Start Exam".</t>
  </si>
  <si>
    <t>1. Error message "Mã đề không hợp lệ" appears.2. Exam does NOT start.3. User stays on the detail page.</t>
  </si>
  <si>
    <t>TC_SIM_EXAM_04</t>
  </si>
  <si>
    <t>Verify "Taking" Page for Simulation</t>
  </si>
  <si>
    <t>1. After starting successfully, observe the "Taking" screen UI.</t>
  </si>
  <si>
    <t>1. Screen displays instructions: "Please open the Simulator App to take the exam".2. Screen may display specific credentials (User/Pass/Token) generated by startSimulationExam
 API.3. A timer might still run on the web to track session duration.</t>
  </si>
  <si>
    <t>Exam Started.</t>
  </si>
  <si>
    <t>TC_SIM_EXAM_05</t>
  </si>
  <si>
    <t>Launch External Simulator (Web Protocol)</t>
  </si>
  <si>
    <t>1. Click "Open Simulator" button (if available).</t>
  </si>
  <si>
    <t>1. Browser prompts to open the external application (e.g., "Open LSSCTC Simulator?").</t>
  </si>
  <si>
    <t>Simulator installed.</t>
  </si>
  <si>
    <t>TC_SIM_EXAM_06</t>
  </si>
  <si>
    <t>Sync Result from Simulator (Pass)</t>
  </si>
  <si>
    <t>1. Complete exam inside the Simulator App with passing score.2. Return to Web App.3. Refresh the Final Exam detail page.</t>
  </si>
  <si>
    <t>1. Status updates to "Completed" or "Submitted".2. Result card displays Green "Passed" status.3. Score matches the result from Simulator.</t>
  </si>
  <si>
    <t>Simulator pushes data.</t>
  </si>
  <si>
    <t>TC_SIM_EXAM_07</t>
  </si>
  <si>
    <t>Sync Result from Simulator (Fail)</t>
  </si>
  <si>
    <t>1. Complete exam inside Simulator with failing score.2. Return to Web App.3. Refresh page.</t>
  </si>
  <si>
    <t>1. Status updates to "Completed".2. Result card displays Red "Not Passed" status.</t>
  </si>
  <si>
    <t>TC_SIM_EXAM_08</t>
  </si>
  <si>
    <t>Handle Simulator Disconnection</t>
  </si>
  <si>
    <t>1. Start simulation exam.2. Simulator crashes or disconnects.3. Check Web status.</t>
  </si>
  <si>
    <t>1. Web status remains "In Progress" (until timeout or manual finish).2. User should be able to re-enter credentials in Simulator (if session valid).</t>
  </si>
  <si>
    <t>TC_SIM_EXAM_09</t>
  </si>
  <si>
    <t>Timeout Behavior on Web</t>
  </si>
  <si>
    <t>1. Let the Web Timer reach 00:00 while user is in Simulator.</t>
  </si>
  <si>
    <t>1. Web App marks the session as "Submitted" (auto-close).2. Any partial results sent by Simulator up to that point are saved (Backend logic).</t>
  </si>
  <si>
    <t>TC_SIM_EXAM_10</t>
  </si>
  <si>
    <t>Re-access "In Progress" Exam</t>
  </si>
  <si>
    <t>1. Leave the Exam page while exam is "In Progress".2. Navigate back to the Exam Detail page.</t>
  </si>
  <si>
    <t>1. Page does NOT ask for Open Code again.2. Shows "Continue Exam" or redirects to Taking page directly.</t>
  </si>
  <si>
    <t>Exam In Progress.</t>
  </si>
  <si>
    <t>Test Specifications for Practical Exam (Current Implementation)</t>
  </si>
  <si>
    <t>TC_PRAC_PASS_01</t>
  </si>
  <si>
    <t>Verify Page Title &amp; Navigation</t>
  </si>
  <si>
    <t>1. Click on a Practical Exam from the list.2. Check the Breadcrumb (PageNav) and Page Title.</t>
  </si>
  <si>
    <t>1. Breadcrumb shows: "Home &gt; My Classes &gt; ... &gt; Final Exam".2. Page Title matches the exam name (e.g., "Practical Test 1").(Pass because PageNav works globally)</t>
  </si>
  <si>
    <t>TC_PRAC_PASS_02</t>
  </si>
  <si>
    <t>Verify Back Button Functionality</t>
  </si>
  <si>
    <t>1. Navigate to Detailed Practical Exam page.2. Click browser "Back" or Breadcrumb parent link.</t>
  </si>
  <si>
    <t>1. Navigates back to Class Detail or previous page successfully.(Pass because routing works)</t>
  </si>
  <si>
    <t>TC_PRAC_PASS_03</t>
  </si>
  <si>
    <t>Verify "Not Started" Status Badge</t>
  </si>
  <si>
    <t>1. View a scheduled Practical Exam.2. Check the "Status" field color.</t>
  </si>
  <si>
    <t>1. Status text is "Not Started".2. Tag color is Default/Blue (based on logic 
getStatusColor).(Pass because logic handles 'Not Started' string genericly)</t>
  </si>
  <si>
    <t>Status='Not Started'.</t>
  </si>
  <si>
    <t>TC_PRAC_PASS_04</t>
  </si>
  <si>
    <t>Verify Duration Display</t>
  </si>
  <si>
    <t>1. View exam details.2. Check "Duration".</t>
  </si>
  <si>
    <t>1. Duration logic works: e.g., "60 minutes".(Pass generic render)</t>
  </si>
  <si>
    <t>TC_PRAC_PASS_05</t>
  </si>
  <si>
    <t>Verify Weight Display</t>
  </si>
  <si>
    <t>1. View exam details.2. Check "Weight".</t>
  </si>
  <si>
    <t>1. Weight displays e.g., "30%".(Pass generic render)</t>
  </si>
  <si>
    <t>TC_PRAC_PASS_06</t>
  </si>
  <si>
    <t>Verify Empty/Loading State</t>
  </si>
  <si>
    <t>1. Navigate to page with an invalid ID (e.g., /final-exam/99999
).2. Observe UI.</t>
  </si>
  <si>
    <t>1. Spinner appears initially.2. Error message "Exam not found" or "Có lỗi xảy ra" appears.(Pass error handling logic)</t>
  </si>
  <si>
    <t>Invalid ID.</t>
  </si>
  <si>
    <t>TC_PRAC_PASS_07</t>
  </si>
  <si>
    <t>Verify Completed Status Badge</t>
  </si>
  <si>
    <t>1. View a Practical Exam that is marked "Completed" in DB.2. Check Status field.</t>
  </si>
  <si>
    <t>1. Status tag is Green (logic: 
getStatusColor('Submitted') returns green).(Pass generic render)</t>
  </si>
  <si>
    <t>Status='Submitted'.</t>
  </si>
  <si>
    <t>TC_PRAC_PASS_08</t>
  </si>
  <si>
    <t>Verify Start Time Formatting</t>
  </si>
  <si>
    <t>1. Check "Start Time" field.</t>
  </si>
  <si>
    <t>1. Date is formatted correctly in Vietnamese locale (e.g., "15:00 12 tháng 12, 2025").(Pass due to 
formatDate helper)</t>
  </si>
  <si>
    <t>Dashboard management</t>
  </si>
  <si>
    <t>Verify the data accuracy and visualization logic of the Dashboard for Administrators, Instructors, and Simulation Managers. Ensure that all statistical widgets (Summary Cards), analytical charts (e.g., Popular Courses, Class Status, Live Users), and monitoring tables correctly reflect real-time system records based on user roles. Verify the functionality of data filters (Date/Year) and Quick Action navigation.</t>
  </si>
  <si>
    <t>Admin Dashboard</t>
  </si>
  <si>
    <t>TC_AD_01</t>
  </si>
  <si>
    <t>Verify Dashboard UI Layout</t>
  </si>
  <si>
    <t>1. Log in as an Admin.2. Navigate to the "Dashboard" page.3. Observe the overall layout and elements.</t>
  </si>
  <si>
    <t>The dashboard displays correctly with 3 main sections:- Top: 6 Summary Cards (Programs, Courses, Trainees, Instructors, Classes, Practices).- Middle: "Popular Courses" chart and "Class Status Distribution" chart.- Bottom: "Daily Course Completions" chart and "Most Active Trainees" chart.</t>
  </si>
  <si>
    <t>Admin account is logged in.</t>
  </si>
  <si>
    <t>TC_AD_02</t>
  </si>
  <si>
    <t>Verify Summary Cards Display</t>
  </si>
  <si>
    <t>1. Observe the 6 summary cards at the top.2. Check the icons, titles (e.g., "Total Programs"), and count numbers.</t>
  </si>
  <si>
    <t>- All 6 cards are visible.- Icons and Titles match the content.- Numbers are displayed clearly and fetch data effectively.</t>
  </si>
  <si>
    <t>TC_AD_03</t>
  </si>
  <si>
    <t>Verify "Popular Courses" Chart</t>
  </si>
  <si>
    <t>1. Scroll to the "Popular Courses" section.2. Hover over the bars in the chart.</t>
  </si>
  <si>
    <t>- The Bar chart is displayed.- Hovering shows a tooltip with the exact number/name of the course.- Courses are sorted by popularity.</t>
  </si>
  <si>
    <t>Dashboard has data.</t>
  </si>
  <si>
    <t>TC_AD_04</t>
  </si>
  <si>
    <t>Verify "Class Status Distribution" Chart</t>
  </si>
  <si>
    <t>1. Scroll to the "Class Status Distribution" section.2. Observe the Donut chart and the legend (Draft, Open, Inprogress, Completed, Cancelled).3. Hover over a slice of the chart.</t>
  </si>
  <si>
    <t>- The Donut chart is visible with distinct colors.- The legend is clearly displayed.- Hovering shows the percentage/count for that specific status.</t>
  </si>
  <si>
    <t>TC_AD_05</t>
  </si>
  <si>
    <t>Verify "Daily Course Completions" Chart</t>
  </si>
  <si>
    <t>1. Scroll to the "Daily Course Completions" section.2. Observe the Line chart mapping days (x-axis) to completions (y-axis).</t>
  </si>
  <si>
    <t>- The Line chart is visible.- The X-axis shows days correctly.- The chart curve reflects the data trends.</t>
  </si>
  <si>
    <t>TC_AD_06</t>
  </si>
  <si>
    <t>Verify Date Filter Functionality</t>
  </si>
  <si>
    <t>1. Locate the "Month" and "Year" dropdowns in the "Daily Course Completions" section.2. Change the Month and Year values (e.g., change to "November" "2024").</t>
  </si>
  <si>
    <t>- The chart updates to reflect the data for the selected timeframe.- Only valid months/years are available in the dropdown.</t>
  </si>
  <si>
    <t>TC_AD_07</t>
  </si>
  <si>
    <t>Verify "Most Active Trainees" Chart</t>
  </si>
  <si>
    <t>1. Scroll to the "Most Active Trainees" section.2. Hover over the columns representing trainees.</t>
  </si>
  <si>
    <t>- The Column chart is visible.- Trainee names are readable on the axis.- Hovering displays the activity count.</t>
  </si>
  <si>
    <t>Instructor Dashboard</t>
  </si>
  <si>
    <t>TC_INS_01</t>
  </si>
  <si>
    <t>1. Log in as an Instructor.2. Navigate to the "Dashboard" page.3. Observe the overall layout.</t>
  </si>
  <si>
    <t>The dashboard loads with:- Title "Instructor Dashboard" and subtitle.- 4 top summary cards.- "Trainees by Class" bar chart.- "Class Status Distribution" donut chart.- "Yearly Course Completions" line chart.- "Class Grade Distribution" section.</t>
  </si>
  <si>
    <t>Instructor account is logged in.</t>
  </si>
  <si>
    <t>TC_INS_02</t>
  </si>
  <si>
    <t>Verify Summary Cards Data</t>
  </si>
  <si>
    <t>1. Check the 4 cards at the top: Total Trainees, Total Classes, Total Materials, Total Quizzes.2. Compare numbers with actual data in the system.</t>
  </si>
  <si>
    <t>- All 4 cards displayed with correct icons.- Numbers match the actual records for the logged-in instructor.</t>
  </si>
  <si>
    <t>Instructor has existing data (classes, quizzes, etc.).</t>
  </si>
  <si>
    <t>TC_INS_03</t>
  </si>
  <si>
    <t>Verify "Trainees by Class" Chart</t>
  </si>
  <si>
    <t>1. Locate "Trainees by Class" chart.2. Hover over a bar representing a class.</t>
  </si>
  <si>
    <t>- Bar chart is visible.- X-axis shows Class Names.- Y-axis shows Trainee count.- Hovering displays the exact number of trainees.</t>
  </si>
  <si>
    <t>Instructor is assigned to at least one class with trainees.</t>
  </si>
  <si>
    <t>TC_INS_04</t>
  </si>
  <si>
    <t>1. Locate "Class Status Distribution" chart.2. Check the center text (Total Classes).3. Hover over the chart segments.</t>
  </si>
  <si>
    <t>- Donut chart displayed with distinct colors for statuses (Draft, Open, In Progress, etc.).- Center text shows the correct total sum.- Hovering shows the label and percentage/count.</t>
  </si>
  <si>
    <t>Classes exist in different statuses.</t>
  </si>
  <si>
    <t>TC_INS_05</t>
  </si>
  <si>
    <t>Verify "Yearly Course Completions" Chart</t>
  </si>
  <si>
    <t>1. Locate "Yearly Course Completions" chart.2. Observe the X-axis (Months) and Y-axis (Completions).3. Hover over data points on the line.</t>
  </si>
  <si>
    <t>- Line chart displays monthly trends.- X-axis lists Jan to Dec.- Hovering shows specific completion numbers for that month.</t>
  </si>
  <si>
    <t>Course completion data exists.</t>
  </si>
  <si>
    <t>TC_INS_06</t>
  </si>
  <si>
    <t>Verify Year Filter for Completions</t>
  </si>
  <si>
    <t>1. Click the Year dropdown in "Yearly Course Completions" chart.2. Select a different year.</t>
  </si>
  <si>
    <t>- The chart updates to show data for the selected year only.- If no data exists for that year, the line sits at 0.</t>
  </si>
  <si>
    <t>Data available for multiple years.</t>
  </si>
  <si>
    <t>TC_INS_07</t>
  </si>
  <si>
    <t>Verify "Class Grade Distribution" Empty State</t>
  </si>
  <si>
    <t>1. Ensure there is no grade data available (or view as a new instructor).2. Observe the "Class Grade Distribution" section.</t>
  </si>
  <si>
    <t>- Displays "No grade data available" message.- Layout remains consistent, no broken UI elements.</t>
  </si>
  <si>
    <t>No grade data available.</t>
  </si>
  <si>
    <t>TC_INS_08</t>
  </si>
  <si>
    <t>Verify "Class Grade Distribution" (Data Present)</t>
  </si>
  <si>
    <t>1. Ensure grade data exists for completed classes.2. Refresh the dashboard and observe the chart.</t>
  </si>
  <si>
    <t>- A chart (likely Bar or Pie) appears instead of the "No data" message.- Shows distribution of grades/scores properly.</t>
  </si>
  <si>
    <t>Grade data exists.</t>
  </si>
  <si>
    <t>Simulator Manager Dashboard</t>
  </si>
  <si>
    <t>TC_SIM_01</t>
  </si>
  <si>
    <t>1. Log in as a Simulator Manager.2. Navigate to the "Dashboard" page.3. Observe the overall layout.</t>
  </si>
  <si>
    <t>The dashboard loads with 4 main sections:- Top: 4 Summary Cards (Active Users, Active Simulations, Total Simulations, Avg Session).- Middle Left: "Live Users" Line Chart.- Middle Right: "Quick Actions" Panel.- Bottom: "Active Simulations" Table.</t>
  </si>
  <si>
    <t>Simulator Manager account is logged in.</t>
  </si>
  <si>
    <t>TC_SIM_02</t>
  </si>
  <si>
    <t>1. Observe the 4 summary cards at the top.2. Verify the icons and the values displayed (e.g., Active Users: 0, Active Simulations: 2).</t>
  </si>
  <si>
    <t>- All 4 cards are clearly visible.- Icons are appropriate.- Numbers/Values reflect the current real-time or stored data correctly.</t>
  </si>
  <si>
    <t>System has simulation data.</t>
  </si>
  <si>
    <t>TC_SIM_03</t>
  </si>
  <si>
    <t>Verify "Live Users" Chart</t>
  </si>
  <si>
    <t>1. Locate the "Live Users" chart.2. Hover over the curve/data points.3. Observe the header and axis.</t>
  </si>
  <si>
    <t>- The Line chart is visible.- X-axis displays time (e.g., 57:29, 57:31).- Y-axis displays user count.- Hovering shows specific values at that timestamp.</t>
  </si>
  <si>
    <t>Dashboard is loaded.</t>
  </si>
  <si>
    <t>TC_SIM_04</t>
  </si>
  <si>
    <t>Verify "Quick Actions" Buttons</t>
  </si>
  <si>
    <t>1. Click on "New Simulation" button.2. Click on "Manage Components" button.3. Click on "Settings" button.</t>
  </si>
  <si>
    <t>- "New Simulation" opens the create pages/modal.- "Manage Components" navigates to the components management page.- "Settings" navigates to the settings page.- Buttons have hover effects and distinctive styles (Blue for primary).</t>
  </si>
  <si>
    <t>TC_SIM_05</t>
  </si>
  <si>
    <t>Verify "Active Simulations" Table Information</t>
  </si>
  <si>
    <t>1. Scroll to the "Active Simulations" section.2. Check the table columns: Name, Learners, Instructor, Started At, Status.3. Verify the data in the rows.</t>
  </si>
  <si>
    <t>- The table headers are correct.- Row data is accurate (e.g., "Seaport Crane Basic" has correct learners count).- Empty fields (like "-" for time) are handled gracefully.</t>
  </si>
  <si>
    <t>There are simulations created in the system.</t>
  </si>
  <si>
    <t>TC_SIM_06</t>
  </si>
  <si>
    <t>Verify Simulation Status Styles</t>
  </si>
  <si>
    <t>1. Observe the "Status" column in the "Active Simulations" table.2. Compare different statuses (e.g., "running" vs "idle").</t>
  </si>
  <si>
    <t>- "running" status has a distinct style (e.g., Blue badge).- "idle" status has a distinct style (e.g., Gray/White badge).- Text is readable inside the badges.</t>
  </si>
  <si>
    <t>Simulations exist with different statuses.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</si>
</sst>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s>
  <fonts count="52">
    <font>
      <sz val="11"/>
      <color rgb="FF000000"/>
      <name val="MS PGothic"/>
      <charset val="134"/>
      <scheme val="minor"/>
    </font>
    <font>
      <sz val="10"/>
      <color theme="1"/>
      <name val="Tahoma"/>
      <charset val="134"/>
    </font>
    <font>
      <b/>
      <sz val="10"/>
      <color theme="1"/>
      <name val="Tahoma"/>
      <charset val="134"/>
    </font>
    <font>
      <sz val="11"/>
      <name val="MS PGothic"/>
      <charset val="134"/>
      <scheme val="minor"/>
    </font>
    <font>
      <i/>
      <sz val="10"/>
      <color rgb="FF008000"/>
      <name val="Tahoma"/>
      <charset val="134"/>
    </font>
    <font>
      <b/>
      <i/>
      <sz val="10"/>
      <color theme="1"/>
      <name val="Tahoma"/>
      <charset val="134"/>
    </font>
    <font>
      <b/>
      <sz val="10"/>
      <color rgb="FF000000"/>
      <name val="Tahoma"/>
      <charset val="134"/>
    </font>
    <font>
      <sz val="10"/>
      <color rgb="FF000000"/>
      <name val="Tahoma"/>
      <charset val="134"/>
    </font>
    <font>
      <b/>
      <sz val="10"/>
      <color rgb="FFFFFFFF"/>
      <name val="Tahoma"/>
      <charset val="134"/>
    </font>
    <font>
      <b/>
      <sz val="14"/>
      <color rgb="FF999999"/>
      <name val="Arial"/>
      <charset val="134"/>
    </font>
    <font>
      <sz val="11"/>
      <color rgb="FF374151"/>
      <name val="&quot;Segoe WPC&quot;"/>
      <charset val="134"/>
    </font>
    <font>
      <sz val="11"/>
      <color theme="1"/>
      <name val="&quot;Segoe WPC&quot;"/>
      <charset val="134"/>
    </font>
    <font>
      <sz val="11"/>
      <color rgb="FF374151"/>
      <name val="Arial"/>
      <charset val="134"/>
    </font>
    <font>
      <sz val="10"/>
      <color rgb="FFFF0000"/>
      <name val="Tahoma"/>
      <charset val="134"/>
    </font>
    <font>
      <b/>
      <sz val="10"/>
      <color rgb="FFFF0000"/>
      <name val="Tahoma"/>
      <charset val="134"/>
    </font>
    <font>
      <b/>
      <sz val="14"/>
      <color rgb="FF999999"/>
      <name val="Tahoma"/>
      <charset val="134"/>
    </font>
    <font>
      <sz val="11"/>
      <color theme="1"/>
      <name val="MS PGothic"/>
      <charset val="134"/>
    </font>
    <font>
      <sz val="11"/>
      <color theme="1"/>
      <name val="Tahoma"/>
      <charset val="134"/>
    </font>
    <font>
      <b/>
      <sz val="13"/>
      <color rgb="FFB7B7B7"/>
      <name val="Tahoma"/>
      <charset val="134"/>
    </font>
    <font>
      <b/>
      <sz val="13"/>
      <color rgb="FF999999"/>
      <name val="Tahoma"/>
      <charset val="134"/>
    </font>
    <font>
      <sz val="11"/>
      <color theme="1"/>
      <name val="Arial"/>
      <charset val="134"/>
    </font>
    <font>
      <sz val="11"/>
      <color theme="1"/>
      <name val="MS PGothic"/>
      <charset val="134"/>
      <scheme val="minor"/>
    </font>
    <font>
      <b/>
      <sz val="14"/>
      <color rgb="FFF4CCCC"/>
      <name val="Tahoma"/>
      <charset val="134"/>
    </font>
    <font>
      <b/>
      <sz val="14"/>
      <color rgb="FFE6B8AF"/>
      <name val="Tahoma"/>
      <charset val="134"/>
    </font>
    <font>
      <b/>
      <sz val="20"/>
      <color rgb="FF000000"/>
      <name val="Tahoma"/>
      <charset val="134"/>
    </font>
    <font>
      <b/>
      <sz val="10"/>
      <color rgb="FF993300"/>
      <name val="Tahoma"/>
      <charset val="134"/>
    </font>
    <font>
      <sz val="10"/>
      <color rgb="FFFFFFFF"/>
      <name val="Tahoma"/>
      <charset val="134"/>
    </font>
    <font>
      <b/>
      <sz val="10"/>
      <color rgb="FF0000FF"/>
      <name val="Tahoma"/>
      <charset val="134"/>
    </font>
    <font>
      <u/>
      <sz val="11"/>
      <color rgb="FF0000FF"/>
      <name val="MS PGothic"/>
      <charset val="134"/>
    </font>
    <font>
      <sz val="10"/>
      <color rgb="FF0000FF"/>
      <name val="Tahoma"/>
      <charset val="134"/>
    </font>
    <font>
      <b/>
      <sz val="26"/>
      <color rgb="FFFF0000"/>
      <name val="Tahoma"/>
      <charset val="134"/>
    </font>
    <font>
      <i/>
      <sz val="10"/>
      <color theme="1"/>
      <name val="Tahoma"/>
      <charset val="134"/>
    </font>
    <font>
      <u/>
      <sz val="11"/>
      <color rgb="FF0000FF"/>
      <name val="MS PGothic"/>
      <charset val="0"/>
      <scheme val="minor"/>
    </font>
    <font>
      <u/>
      <sz val="11"/>
      <color rgb="FF800080"/>
      <name val="MS PGothic"/>
      <charset val="0"/>
      <scheme val="minor"/>
    </font>
    <font>
      <sz val="11"/>
      <color rgb="FFFF0000"/>
      <name val="MS PGothic"/>
      <charset val="0"/>
      <scheme val="minor"/>
    </font>
    <font>
      <b/>
      <sz val="18"/>
      <color theme="3"/>
      <name val="MS PGothic"/>
      <charset val="134"/>
      <scheme val="minor"/>
    </font>
    <font>
      <i/>
      <sz val="11"/>
      <color rgb="FF7F7F7F"/>
      <name val="MS PGothic"/>
      <charset val="0"/>
      <scheme val="minor"/>
    </font>
    <font>
      <b/>
      <sz val="15"/>
      <color theme="3"/>
      <name val="MS PGothic"/>
      <charset val="134"/>
      <scheme val="minor"/>
    </font>
    <font>
      <b/>
      <sz val="13"/>
      <color theme="3"/>
      <name val="MS PGothic"/>
      <charset val="134"/>
      <scheme val="minor"/>
    </font>
    <font>
      <b/>
      <sz val="11"/>
      <color theme="3"/>
      <name val="MS PGothic"/>
      <charset val="134"/>
      <scheme val="minor"/>
    </font>
    <font>
      <sz val="11"/>
      <color rgb="FF3F3F76"/>
      <name val="MS PGothic"/>
      <charset val="0"/>
      <scheme val="minor"/>
    </font>
    <font>
      <b/>
      <sz val="11"/>
      <color rgb="FF3F3F3F"/>
      <name val="MS PGothic"/>
      <charset val="0"/>
      <scheme val="minor"/>
    </font>
    <font>
      <b/>
      <sz val="11"/>
      <color rgb="FFFA7D00"/>
      <name val="MS PGothic"/>
      <charset val="0"/>
      <scheme val="minor"/>
    </font>
    <font>
      <b/>
      <sz val="11"/>
      <color rgb="FFFFFFFF"/>
      <name val="MS PGothic"/>
      <charset val="0"/>
      <scheme val="minor"/>
    </font>
    <font>
      <sz val="11"/>
      <color rgb="FFFA7D00"/>
      <name val="MS PGothic"/>
      <charset val="0"/>
      <scheme val="minor"/>
    </font>
    <font>
      <b/>
      <sz val="11"/>
      <color theme="1"/>
      <name val="MS PGothic"/>
      <charset val="0"/>
      <scheme val="minor"/>
    </font>
    <font>
      <sz val="11"/>
      <color rgb="FF006100"/>
      <name val="MS PGothic"/>
      <charset val="0"/>
      <scheme val="minor"/>
    </font>
    <font>
      <sz val="11"/>
      <color rgb="FF9C0006"/>
      <name val="MS PGothic"/>
      <charset val="0"/>
      <scheme val="minor"/>
    </font>
    <font>
      <sz val="11"/>
      <color rgb="FF9C6500"/>
      <name val="MS PGothic"/>
      <charset val="0"/>
      <scheme val="minor"/>
    </font>
    <font>
      <sz val="11"/>
      <color theme="0"/>
      <name val="MS PGothic"/>
      <charset val="0"/>
      <scheme val="minor"/>
    </font>
    <font>
      <sz val="11"/>
      <color theme="1"/>
      <name val="MS PGothic"/>
      <charset val="0"/>
      <scheme val="minor"/>
    </font>
    <font>
      <sz val="10"/>
      <name val="SimSun"/>
      <charset val="134"/>
    </font>
  </fonts>
  <fills count="37">
    <fill>
      <patternFill patternType="none"/>
    </fill>
    <fill>
      <patternFill patternType="gray125"/>
    </fill>
    <fill>
      <patternFill patternType="solid">
        <fgColor rgb="FFFFFFFF"/>
        <bgColor rgb="FFFFFFFF"/>
      </patternFill>
    </fill>
    <fill>
      <patternFill patternType="solid">
        <fgColor rgb="FF76923C"/>
        <bgColor rgb="FF76923C"/>
      </patternFill>
    </fill>
    <fill>
      <patternFill patternType="solid">
        <fgColor rgb="FF000080"/>
        <bgColor rgb="FF000080"/>
      </patternFill>
    </fill>
    <fill>
      <patternFill patternType="solid">
        <fgColor rgb="FF333399"/>
        <bgColor rgb="FF3333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81838E"/>
      </left>
      <right style="thin">
        <color rgb="FF81838E"/>
      </right>
      <top style="thin">
        <color rgb="FF81838E"/>
      </top>
      <bottom style="thin">
        <color rgb="FF81838E"/>
      </bottom>
      <diagonal/>
    </border>
    <border>
      <left/>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177"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1" fillId="6" borderId="38"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39" applyNumberFormat="0" applyFill="0" applyAlignment="0" applyProtection="0">
      <alignment vertical="center"/>
    </xf>
    <xf numFmtId="0" fontId="38" fillId="0" borderId="39" applyNumberFormat="0" applyFill="0" applyAlignment="0" applyProtection="0">
      <alignment vertical="center"/>
    </xf>
    <xf numFmtId="0" fontId="39" fillId="0" borderId="40" applyNumberFormat="0" applyFill="0" applyAlignment="0" applyProtection="0">
      <alignment vertical="center"/>
    </xf>
    <xf numFmtId="0" fontId="39" fillId="0" borderId="0" applyNumberFormat="0" applyFill="0" applyBorder="0" applyAlignment="0" applyProtection="0">
      <alignment vertical="center"/>
    </xf>
    <xf numFmtId="0" fontId="40" fillId="7" borderId="41" applyNumberFormat="0" applyAlignment="0" applyProtection="0">
      <alignment vertical="center"/>
    </xf>
    <xf numFmtId="0" fontId="41" fillId="8" borderId="42" applyNumberFormat="0" applyAlignment="0" applyProtection="0">
      <alignment vertical="center"/>
    </xf>
    <xf numFmtId="0" fontId="42" fillId="8" borderId="41" applyNumberFormat="0" applyAlignment="0" applyProtection="0">
      <alignment vertical="center"/>
    </xf>
    <xf numFmtId="0" fontId="43" fillId="9" borderId="43" applyNumberFormat="0" applyAlignment="0" applyProtection="0">
      <alignment vertical="center"/>
    </xf>
    <xf numFmtId="0" fontId="44" fillId="0" borderId="44" applyNumberFormat="0" applyFill="0" applyAlignment="0" applyProtection="0">
      <alignment vertical="center"/>
    </xf>
    <xf numFmtId="0" fontId="45" fillId="0" borderId="45" applyNumberFormat="0" applyFill="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9" fillId="13" borderId="0" applyNumberFormat="0" applyBorder="0" applyAlignment="0" applyProtection="0">
      <alignment vertical="center"/>
    </xf>
    <xf numFmtId="0" fontId="50" fillId="14" borderId="0" applyNumberFormat="0" applyBorder="0" applyAlignment="0" applyProtection="0">
      <alignment vertical="center"/>
    </xf>
    <xf numFmtId="0" fontId="50"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0"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cellStyleXfs>
  <cellXfs count="161">
    <xf numFmtId="0" fontId="0" fillId="0" borderId="0" xfId="0" applyFont="1" applyAlignment="1"/>
    <xf numFmtId="0" fontId="1" fillId="2" borderId="0" xfId="0" applyFont="1" applyFill="1" applyBorder="1"/>
    <xf numFmtId="0" fontId="2" fillId="2" borderId="1" xfId="0" applyFont="1" applyFill="1" applyBorder="1" applyAlignment="1">
      <alignment horizontal="center" vertical="top" wrapText="1"/>
    </xf>
    <xf numFmtId="0" fontId="1" fillId="2" borderId="2" xfId="0" applyFont="1" applyFill="1" applyBorder="1" applyAlignment="1">
      <alignment horizontal="left" vertical="top" wrapText="1"/>
    </xf>
    <xf numFmtId="0" fontId="3" fillId="0" borderId="3" xfId="0" applyFont="1" applyBorder="1"/>
    <xf numFmtId="0" fontId="3" fillId="0" borderId="4" xfId="0" applyFont="1" applyBorder="1"/>
    <xf numFmtId="0" fontId="4" fillId="2" borderId="0" xfId="0" applyFont="1" applyFill="1" applyBorder="1" applyAlignment="1">
      <alignment wrapText="1"/>
    </xf>
    <xf numFmtId="0" fontId="4" fillId="2" borderId="0" xfId="0" applyFont="1" applyFill="1" applyBorder="1" applyAlignment="1">
      <alignment horizontal="left" wrapText="1"/>
    </xf>
    <xf numFmtId="0" fontId="1" fillId="2" borderId="0" xfId="0" applyFont="1" applyFill="1" applyBorder="1" applyAlignment="1">
      <alignment wrapText="1"/>
    </xf>
    <xf numFmtId="0" fontId="2" fillId="2" borderId="5" xfId="0" applyFont="1" applyFill="1" applyBorder="1" applyAlignment="1">
      <alignment horizontal="center" vertical="top" wrapText="1"/>
    </xf>
    <xf numFmtId="0" fontId="1" fillId="2" borderId="6" xfId="0" applyFont="1" applyFill="1" applyBorder="1" applyAlignment="1">
      <alignment horizontal="left" vertical="top" wrapText="1"/>
    </xf>
    <xf numFmtId="0" fontId="3" fillId="0" borderId="7" xfId="0" applyFont="1" applyBorder="1"/>
    <xf numFmtId="0" fontId="3" fillId="0" borderId="8" xfId="0" applyFont="1" applyBorder="1"/>
    <xf numFmtId="0" fontId="5" fillId="2" borderId="5" xfId="0" applyFont="1" applyFill="1" applyBorder="1" applyAlignment="1">
      <alignment horizontal="center" vertical="top" wrapText="1"/>
    </xf>
    <xf numFmtId="0" fontId="5" fillId="2" borderId="9" xfId="0" applyFont="1" applyFill="1" applyBorder="1" applyAlignment="1">
      <alignment horizontal="center" vertical="top" wrapText="1"/>
    </xf>
    <xf numFmtId="0" fontId="5" fillId="2" borderId="10" xfId="0" applyFont="1" applyFill="1" applyBorder="1" applyAlignment="1">
      <alignment horizontal="center" vertical="top" wrapText="1"/>
    </xf>
    <xf numFmtId="0" fontId="6" fillId="2" borderId="0" xfId="0" applyFont="1" applyFill="1" applyBorder="1" applyAlignment="1">
      <alignment horizontal="center" vertical="center" wrapText="1"/>
    </xf>
    <xf numFmtId="0" fontId="1" fillId="2" borderId="0" xfId="0" applyFont="1" applyFill="1" applyBorder="1" applyAlignment="1">
      <alignment horizontal="center" wrapText="1"/>
    </xf>
    <xf numFmtId="0" fontId="1" fillId="2" borderId="9" xfId="0" applyFont="1" applyFill="1" applyBorder="1" applyAlignment="1">
      <alignment horizontal="center" vertical="top" wrapText="1"/>
    </xf>
    <xf numFmtId="0" fontId="1" fillId="2" borderId="10" xfId="0" applyFont="1" applyFill="1" applyBorder="1" applyAlignment="1">
      <alignment horizontal="center" vertical="top" wrapText="1"/>
    </xf>
    <xf numFmtId="0" fontId="7" fillId="2" borderId="0" xfId="0" applyFont="1" applyFill="1" applyBorder="1" applyAlignment="1">
      <alignment horizontal="center" vertical="center" wrapText="1"/>
    </xf>
    <xf numFmtId="0" fontId="5"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1" fillId="2" borderId="13" xfId="0" applyFont="1" applyFill="1" applyBorder="1" applyAlignment="1">
      <alignment horizontal="center" vertical="top" wrapText="1"/>
    </xf>
    <xf numFmtId="0" fontId="7" fillId="2" borderId="0" xfId="0" applyFont="1" applyFill="1" applyBorder="1" applyAlignment="1">
      <alignment horizontal="center" wrapText="1"/>
    </xf>
    <xf numFmtId="0" fontId="8" fillId="3" borderId="9" xfId="0" applyFont="1" applyFill="1" applyBorder="1" applyAlignment="1">
      <alignment horizontal="center" vertical="center" wrapText="1"/>
    </xf>
    <xf numFmtId="0" fontId="9" fillId="2" borderId="0" xfId="0" applyFont="1" applyFill="1" applyAlignment="1">
      <alignment horizontal="left"/>
    </xf>
    <xf numFmtId="0" fontId="10" fillId="2" borderId="0" xfId="0" applyFont="1" applyFill="1" applyAlignment="1">
      <alignment horizontal="left"/>
    </xf>
    <xf numFmtId="0" fontId="1" fillId="2" borderId="9" xfId="0" applyFont="1" applyFill="1" applyBorder="1" applyAlignment="1">
      <alignment vertical="top" wrapText="1"/>
    </xf>
    <xf numFmtId="0" fontId="11" fillId="2" borderId="0" xfId="0" applyFont="1" applyFill="1" applyAlignment="1">
      <alignment horizontal="left"/>
    </xf>
    <xf numFmtId="0" fontId="10" fillId="2" borderId="14" xfId="0" applyFont="1" applyFill="1" applyBorder="1" applyAlignment="1">
      <alignment horizontal="left"/>
    </xf>
    <xf numFmtId="0" fontId="12" fillId="2" borderId="14" xfId="0" applyFont="1" applyFill="1" applyBorder="1" applyAlignment="1">
      <alignment horizontal="left"/>
    </xf>
    <xf numFmtId="0" fontId="1" fillId="2" borderId="9" xfId="0" applyFont="1" applyFill="1" applyBorder="1"/>
    <xf numFmtId="0" fontId="9" fillId="2" borderId="0" xfId="0" applyFont="1" applyFill="1" applyAlignment="1"/>
    <xf numFmtId="0" fontId="7" fillId="2" borderId="0" xfId="0" applyFont="1" applyFill="1" applyBorder="1"/>
    <xf numFmtId="0" fontId="13" fillId="2" borderId="0" xfId="0" applyFont="1" applyFill="1" applyBorder="1"/>
    <xf numFmtId="0" fontId="13" fillId="2" borderId="0" xfId="0" applyFont="1" applyFill="1" applyBorder="1" applyAlignment="1">
      <alignment wrapText="1"/>
    </xf>
    <xf numFmtId="0" fontId="13" fillId="2" borderId="0" xfId="0" applyFont="1" applyFill="1" applyBorder="1" applyAlignment="1">
      <alignment horizontal="center" wrapText="1"/>
    </xf>
    <xf numFmtId="0" fontId="14" fillId="2" borderId="0" xfId="0" applyFont="1" applyFill="1" applyBorder="1" applyAlignment="1">
      <alignment horizontal="center" vertical="center" wrapText="1"/>
    </xf>
    <xf numFmtId="0" fontId="13" fillId="2" borderId="0" xfId="0" applyFont="1" applyFill="1" applyBorder="1" applyAlignment="1">
      <alignment vertical="top" wrapText="1"/>
    </xf>
    <xf numFmtId="0" fontId="15" fillId="2" borderId="0" xfId="0" applyFont="1" applyFill="1" applyBorder="1" applyAlignment="1"/>
    <xf numFmtId="0" fontId="16" fillId="2" borderId="9" xfId="0" applyFont="1" applyFill="1" applyBorder="1" applyAlignment="1">
      <alignment vertical="top"/>
    </xf>
    <xf numFmtId="0" fontId="7" fillId="2" borderId="0" xfId="0" applyFont="1" applyFill="1" applyBorder="1" applyAlignment="1">
      <alignment vertical="top"/>
    </xf>
    <xf numFmtId="0" fontId="15" fillId="2" borderId="9" xfId="0" applyFont="1" applyFill="1" applyBorder="1" applyAlignment="1">
      <alignment vertical="top" wrapText="1"/>
    </xf>
    <xf numFmtId="178" fontId="16" fillId="2" borderId="9" xfId="0" applyNumberFormat="1" applyFont="1" applyFill="1" applyBorder="1" applyAlignment="1">
      <alignment vertical="top"/>
    </xf>
    <xf numFmtId="0" fontId="17" fillId="2" borderId="9" xfId="0" applyFont="1" applyFill="1" applyBorder="1" applyAlignment="1">
      <alignment vertical="top"/>
    </xf>
    <xf numFmtId="0" fontId="17" fillId="2" borderId="9" xfId="0" applyFont="1" applyFill="1" applyBorder="1" applyAlignment="1">
      <alignment vertical="top" wrapText="1"/>
    </xf>
    <xf numFmtId="0" fontId="15" fillId="2" borderId="9" xfId="0" applyFont="1" applyFill="1" applyBorder="1" applyAlignment="1">
      <alignment vertical="top"/>
    </xf>
    <xf numFmtId="0" fontId="18" fillId="2" borderId="0" xfId="0" applyFont="1" applyFill="1" applyBorder="1" applyAlignment="1"/>
    <xf numFmtId="0" fontId="19" fillId="2" borderId="0" xfId="0" applyFont="1" applyFill="1" applyBorder="1" applyAlignment="1"/>
    <xf numFmtId="0" fontId="1" fillId="2" borderId="0" xfId="0" applyFont="1" applyFill="1"/>
    <xf numFmtId="0" fontId="20" fillId="2" borderId="0" xfId="0" applyFont="1" applyFill="1" applyAlignment="1">
      <alignment horizontal="left"/>
    </xf>
    <xf numFmtId="0" fontId="16" fillId="2" borderId="0" xfId="0" applyFont="1" applyFill="1" applyBorder="1" applyAlignment="1"/>
    <xf numFmtId="0" fontId="16" fillId="2" borderId="0" xfId="0" applyFont="1" applyFill="1" applyBorder="1" applyAlignment="1">
      <alignment vertical="top"/>
    </xf>
    <xf numFmtId="0" fontId="1" fillId="2" borderId="15" xfId="0" applyFont="1" applyFill="1" applyBorder="1" applyAlignment="1">
      <alignment horizontal="left" vertical="top" wrapText="1"/>
    </xf>
    <xf numFmtId="0" fontId="3" fillId="0" borderId="15" xfId="0" applyFont="1" applyBorder="1"/>
    <xf numFmtId="0" fontId="1" fillId="2" borderId="16" xfId="0" applyFont="1" applyFill="1" applyBorder="1" applyAlignment="1">
      <alignment horizontal="left" vertical="top" wrapText="1"/>
    </xf>
    <xf numFmtId="0" fontId="3" fillId="0" borderId="17" xfId="0" applyFont="1" applyBorder="1"/>
    <xf numFmtId="0" fontId="3" fillId="0" borderId="18" xfId="0" applyFont="1" applyBorder="1"/>
    <xf numFmtId="0" fontId="17" fillId="0" borderId="0" xfId="0" applyFont="1" applyAlignment="1"/>
    <xf numFmtId="0" fontId="21" fillId="0" borderId="19" xfId="0" applyFont="1" applyBorder="1"/>
    <xf numFmtId="0" fontId="22" fillId="2" borderId="9" xfId="0" applyFont="1" applyFill="1" applyBorder="1" applyAlignment="1">
      <alignment vertical="top" wrapText="1"/>
    </xf>
    <xf numFmtId="0" fontId="7" fillId="2" borderId="9" xfId="0" applyFont="1" applyFill="1" applyBorder="1" applyAlignment="1">
      <alignment horizontal="left" vertical="top" wrapText="1"/>
    </xf>
    <xf numFmtId="0" fontId="23" fillId="2" borderId="9" xfId="0" applyFont="1" applyFill="1" applyBorder="1" applyAlignment="1">
      <alignment vertical="top" wrapText="1"/>
    </xf>
    <xf numFmtId="0" fontId="9" fillId="0" borderId="0" xfId="0" applyFont="1" applyAlignment="1"/>
    <xf numFmtId="0" fontId="20" fillId="0" borderId="0" xfId="0" applyFont="1" applyAlignment="1"/>
    <xf numFmtId="0" fontId="9" fillId="2" borderId="14" xfId="0" applyFont="1" applyFill="1" applyBorder="1" applyAlignment="1">
      <alignment horizontal="left"/>
    </xf>
    <xf numFmtId="0" fontId="24" fillId="2" borderId="0" xfId="0" applyFont="1" applyFill="1" applyBorder="1" applyAlignment="1">
      <alignment horizontal="center"/>
    </xf>
    <xf numFmtId="0" fontId="3" fillId="0" borderId="0" xfId="0" applyFont="1" applyBorder="1"/>
    <xf numFmtId="0" fontId="2" fillId="2" borderId="0" xfId="0" applyFont="1" applyFill="1" applyBorder="1"/>
    <xf numFmtId="15" fontId="1" fillId="2" borderId="0" xfId="0" applyNumberFormat="1" applyFont="1" applyFill="1" applyBorder="1"/>
    <xf numFmtId="0" fontId="25" fillId="2" borderId="9" xfId="0" applyFont="1" applyFill="1" applyBorder="1" applyAlignment="1">
      <alignment horizontal="left" vertical="center"/>
    </xf>
    <xf numFmtId="0" fontId="4" fillId="2" borderId="6" xfId="0" applyFont="1" applyFill="1" applyBorder="1" applyAlignment="1">
      <alignment horizontal="left"/>
    </xf>
    <xf numFmtId="0" fontId="3" fillId="0" borderId="20" xfId="0" applyFont="1" applyBorder="1"/>
    <xf numFmtId="0" fontId="25" fillId="2" borderId="6" xfId="0" applyFont="1" applyFill="1" applyBorder="1" applyAlignment="1">
      <alignment horizontal="left"/>
    </xf>
    <xf numFmtId="0" fontId="25" fillId="2" borderId="20" xfId="0" applyFont="1" applyFill="1" applyBorder="1" applyAlignment="1">
      <alignment horizontal="left"/>
    </xf>
    <xf numFmtId="0" fontId="1" fillId="2" borderId="20" xfId="0" applyFont="1" applyFill="1" applyBorder="1" applyAlignment="1">
      <alignment vertical="top"/>
    </xf>
    <xf numFmtId="0" fontId="25" fillId="2" borderId="9" xfId="0" applyFont="1" applyFill="1" applyBorder="1" applyAlignment="1">
      <alignment vertical="center"/>
    </xf>
    <xf numFmtId="0" fontId="4" fillId="2" borderId="20" xfId="0" applyFont="1" applyFill="1" applyBorder="1" applyAlignment="1">
      <alignment vertical="top"/>
    </xf>
    <xf numFmtId="0" fontId="4" fillId="2" borderId="6" xfId="0" applyFont="1" applyFill="1" applyBorder="1" applyAlignment="1">
      <alignment vertical="top"/>
    </xf>
    <xf numFmtId="0" fontId="25" fillId="2" borderId="0" xfId="0" applyFont="1" applyFill="1" applyBorder="1"/>
    <xf numFmtId="0" fontId="4" fillId="2" borderId="0" xfId="0" applyFont="1" applyFill="1" applyBorder="1"/>
    <xf numFmtId="0" fontId="1" fillId="2" borderId="19" xfId="0" applyFont="1" applyFill="1" applyBorder="1"/>
    <xf numFmtId="0" fontId="8" fillId="4" borderId="21" xfId="0" applyFont="1" applyFill="1" applyBorder="1" applyAlignment="1">
      <alignment horizontal="center"/>
    </xf>
    <xf numFmtId="0" fontId="8" fillId="4" borderId="22" xfId="0" applyFont="1" applyFill="1" applyBorder="1" applyAlignment="1">
      <alignment horizontal="center"/>
    </xf>
    <xf numFmtId="0" fontId="8" fillId="4" borderId="22" xfId="0" applyFont="1" applyFill="1" applyBorder="1" applyAlignment="1">
      <alignment horizontal="center" wrapText="1"/>
    </xf>
    <xf numFmtId="0" fontId="8" fillId="4" borderId="23" xfId="0" applyFont="1" applyFill="1" applyBorder="1" applyAlignment="1">
      <alignment horizontal="center"/>
    </xf>
    <xf numFmtId="0" fontId="8" fillId="4" borderId="24" xfId="0" applyFont="1" applyFill="1" applyBorder="1" applyAlignment="1">
      <alignment horizontal="center" wrapText="1"/>
    </xf>
    <xf numFmtId="0" fontId="1" fillId="2" borderId="25" xfId="0" applyFont="1" applyFill="1" applyBorder="1" applyAlignment="1">
      <alignment horizontal="center"/>
    </xf>
    <xf numFmtId="0" fontId="1" fillId="2" borderId="26" xfId="0" applyFont="1" applyFill="1" applyBorder="1"/>
    <xf numFmtId="0" fontId="1" fillId="2" borderId="26"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26" fillId="4" borderId="29" xfId="0" applyFont="1" applyFill="1" applyBorder="1" applyAlignment="1">
      <alignment horizontal="center"/>
    </xf>
    <xf numFmtId="0" fontId="8" fillId="4" borderId="30" xfId="0" applyFont="1" applyFill="1" applyBorder="1"/>
    <xf numFmtId="0" fontId="26" fillId="4" borderId="30" xfId="0" applyFont="1" applyFill="1" applyBorder="1" applyAlignment="1">
      <alignment horizontal="center"/>
    </xf>
    <xf numFmtId="0" fontId="26" fillId="4" borderId="31" xfId="0" applyFont="1" applyFill="1" applyBorder="1" applyAlignment="1">
      <alignment horizontal="center"/>
    </xf>
    <xf numFmtId="0" fontId="1" fillId="2" borderId="0" xfId="0" applyFont="1" applyFill="1" applyBorder="1" applyAlignment="1">
      <alignment horizontal="center"/>
    </xf>
    <xf numFmtId="10" fontId="1" fillId="2" borderId="0" xfId="0" applyNumberFormat="1" applyFont="1" applyFill="1" applyBorder="1" applyAlignment="1">
      <alignment horizontal="center"/>
    </xf>
    <xf numFmtId="9" fontId="1" fillId="2" borderId="0" xfId="0" applyNumberFormat="1" applyFont="1" applyFill="1" applyBorder="1" applyAlignment="1">
      <alignment horizontal="center"/>
    </xf>
    <xf numFmtId="0" fontId="25" fillId="2" borderId="0" xfId="0" applyFont="1" applyFill="1" applyBorder="1" applyAlignment="1">
      <alignment horizontal="left"/>
    </xf>
    <xf numFmtId="2" fontId="27" fillId="2" borderId="0" xfId="0" applyNumberFormat="1" applyFont="1" applyFill="1" applyBorder="1" applyAlignment="1">
      <alignment horizontal="right" wrapText="1"/>
    </xf>
    <xf numFmtId="1" fontId="1" fillId="2" borderId="0" xfId="0" applyNumberFormat="1" applyFont="1" applyFill="1" applyBorder="1"/>
    <xf numFmtId="0" fontId="1" fillId="2" borderId="0" xfId="0" applyFont="1" applyFill="1" applyBorder="1" applyAlignment="1">
      <alignment horizontal="left"/>
    </xf>
    <xf numFmtId="0" fontId="24" fillId="2" borderId="0" xfId="0" applyFont="1" applyFill="1" applyBorder="1" applyAlignment="1">
      <alignment horizontal="left"/>
    </xf>
    <xf numFmtId="0" fontId="6" fillId="2" borderId="0" xfId="0" applyFont="1" applyFill="1" applyBorder="1" applyAlignment="1">
      <alignment horizontal="left"/>
    </xf>
    <xf numFmtId="0" fontId="14" fillId="2" borderId="0" xfId="0" applyFont="1" applyFill="1" applyBorder="1" applyAlignment="1">
      <alignment horizontal="left"/>
    </xf>
    <xf numFmtId="1" fontId="25" fillId="2" borderId="6" xfId="0" applyNumberFormat="1" applyFont="1" applyFill="1" applyBorder="1"/>
    <xf numFmtId="1" fontId="25" fillId="2" borderId="6" xfId="0" applyNumberFormat="1" applyFont="1" applyFill="1" applyBorder="1" applyAlignment="1">
      <alignment vertical="center" wrapText="1"/>
    </xf>
    <xf numFmtId="0" fontId="4" fillId="2" borderId="6" xfId="0" applyFont="1" applyFill="1" applyBorder="1" applyAlignment="1">
      <alignment vertical="top" wrapText="1"/>
    </xf>
    <xf numFmtId="1" fontId="25" fillId="2" borderId="0" xfId="0" applyNumberFormat="1" applyFont="1" applyFill="1" applyBorder="1"/>
    <xf numFmtId="0" fontId="1" fillId="2" borderId="0" xfId="0" applyFont="1" applyFill="1" applyBorder="1" applyAlignment="1">
      <alignment vertical="center"/>
    </xf>
    <xf numFmtId="1" fontId="1" fillId="2" borderId="0" xfId="0" applyNumberFormat="1" applyFont="1" applyFill="1" applyBorder="1" applyAlignment="1">
      <alignment vertical="center"/>
    </xf>
    <xf numFmtId="0" fontId="1" fillId="2" borderId="0" xfId="0" applyFont="1" applyFill="1" applyBorder="1" applyAlignment="1">
      <alignment horizontal="left" vertical="center"/>
    </xf>
    <xf numFmtId="0" fontId="2" fillId="2" borderId="0" xfId="0" applyFont="1" applyFill="1" applyBorder="1" applyAlignment="1">
      <alignment horizontal="center"/>
    </xf>
    <xf numFmtId="1" fontId="8" fillId="5" borderId="32" xfId="0" applyNumberFormat="1" applyFont="1" applyFill="1" applyBorder="1" applyAlignment="1">
      <alignment horizontal="center" vertical="center"/>
    </xf>
    <xf numFmtId="0" fontId="8" fillId="5" borderId="22" xfId="0" applyFont="1" applyFill="1" applyBorder="1" applyAlignment="1">
      <alignment horizontal="center" vertical="center"/>
    </xf>
    <xf numFmtId="0" fontId="8" fillId="5" borderId="23" xfId="0" applyFont="1" applyFill="1" applyBorder="1" applyAlignment="1">
      <alignment horizontal="center" vertical="center"/>
    </xf>
    <xf numFmtId="0" fontId="8" fillId="5" borderId="33" xfId="0" applyFont="1" applyFill="1" applyBorder="1" applyAlignment="1">
      <alignment horizontal="center" vertical="center"/>
    </xf>
    <xf numFmtId="1" fontId="1" fillId="2" borderId="34" xfId="0" applyNumberFormat="1" applyFont="1" applyFill="1" applyBorder="1" applyAlignment="1">
      <alignment vertical="center"/>
    </xf>
    <xf numFmtId="49" fontId="1" fillId="2" borderId="26" xfId="0" applyNumberFormat="1" applyFont="1" applyFill="1" applyBorder="1" applyAlignment="1">
      <alignment horizontal="left" vertical="center"/>
    </xf>
    <xf numFmtId="0" fontId="28" fillId="2" borderId="26" xfId="0" applyFont="1" applyFill="1" applyBorder="1" applyAlignment="1">
      <alignment horizontal="left" vertical="center"/>
    </xf>
    <xf numFmtId="0" fontId="29" fillId="2" borderId="26" xfId="0" applyFont="1" applyFill="1" applyBorder="1" applyAlignment="1">
      <alignment horizontal="left" vertical="center"/>
    </xf>
    <xf numFmtId="0" fontId="1" fillId="2" borderId="35" xfId="0" applyFont="1" applyFill="1" applyBorder="1" applyAlignment="1">
      <alignment horizontal="left" vertical="center"/>
    </xf>
    <xf numFmtId="0" fontId="1" fillId="2" borderId="26" xfId="0" applyFont="1" applyFill="1" applyBorder="1" applyAlignment="1">
      <alignment horizontal="left" vertical="center"/>
    </xf>
    <xf numFmtId="1" fontId="1" fillId="2" borderId="36" xfId="0" applyNumberFormat="1" applyFont="1" applyFill="1" applyBorder="1" applyAlignment="1">
      <alignment vertical="center"/>
    </xf>
    <xf numFmtId="49" fontId="1" fillId="2" borderId="30" xfId="0" applyNumberFormat="1" applyFont="1" applyFill="1" applyBorder="1" applyAlignment="1">
      <alignment horizontal="left" vertical="center"/>
    </xf>
    <xf numFmtId="0" fontId="1" fillId="2" borderId="30" xfId="0" applyFont="1" applyFill="1" applyBorder="1" applyAlignment="1">
      <alignment horizontal="left" vertical="center"/>
    </xf>
    <xf numFmtId="0" fontId="1" fillId="2" borderId="37" xfId="0" applyFont="1" applyFill="1" applyBorder="1" applyAlignment="1">
      <alignment horizontal="left" vertical="center"/>
    </xf>
    <xf numFmtId="0" fontId="1" fillId="0" borderId="0" xfId="0" applyFont="1" applyAlignment="1">
      <alignment horizontal="left"/>
    </xf>
    <xf numFmtId="0" fontId="1" fillId="0" borderId="0" xfId="0" applyFont="1"/>
    <xf numFmtId="0" fontId="30" fillId="0" borderId="6" xfId="0" applyFont="1" applyBorder="1" applyAlignment="1">
      <alignment horizontal="center" vertical="center"/>
    </xf>
    <xf numFmtId="0" fontId="24" fillId="0" borderId="6" xfId="0" applyFont="1" applyBorder="1" applyAlignment="1">
      <alignment horizontal="center" vertical="center"/>
    </xf>
    <xf numFmtId="0" fontId="1" fillId="0" borderId="0" xfId="0" applyFont="1" applyAlignment="1">
      <alignment horizontal="center" vertical="center"/>
    </xf>
    <xf numFmtId="0" fontId="4" fillId="0" borderId="0" xfId="0" applyFont="1" applyAlignment="1">
      <alignment horizontal="left"/>
    </xf>
    <xf numFmtId="0" fontId="2" fillId="2" borderId="9" xfId="0" applyFont="1" applyFill="1" applyBorder="1" applyAlignment="1">
      <alignment horizontal="left"/>
    </xf>
    <xf numFmtId="0" fontId="31" fillId="0" borderId="6" xfId="0" applyFont="1" applyBorder="1" applyAlignment="1">
      <alignment horizontal="left"/>
    </xf>
    <xf numFmtId="0" fontId="1" fillId="0" borderId="20" xfId="0" applyFont="1" applyBorder="1"/>
    <xf numFmtId="15" fontId="31" fillId="0" borderId="20" xfId="0" applyNumberFormat="1" applyFont="1" applyBorder="1"/>
    <xf numFmtId="0" fontId="2" fillId="2" borderId="9" xfId="0" applyFont="1" applyFill="1" applyBorder="1" applyAlignment="1">
      <alignment vertical="center"/>
    </xf>
    <xf numFmtId="0" fontId="31" fillId="0" borderId="6" xfId="0" applyFont="1" applyBorder="1" applyAlignment="1">
      <alignment horizontal="left" vertical="center"/>
    </xf>
    <xf numFmtId="0" fontId="31" fillId="0" borderId="20" xfId="0" applyFont="1" applyBorder="1" applyAlignment="1">
      <alignment horizontal="left"/>
    </xf>
    <xf numFmtId="0" fontId="2" fillId="0" borderId="0" xfId="0" applyFont="1"/>
    <xf numFmtId="0" fontId="25" fillId="0" borderId="0" xfId="0" applyFont="1" applyAlignment="1">
      <alignment horizontal="left"/>
    </xf>
    <xf numFmtId="0" fontId="2" fillId="0" borderId="0" xfId="0" applyFont="1" applyAlignment="1">
      <alignment horizontal="left"/>
    </xf>
    <xf numFmtId="15" fontId="8" fillId="4" borderId="32" xfId="0" applyNumberFormat="1" applyFont="1" applyFill="1" applyBorder="1" applyAlignment="1">
      <alignment horizontal="center" vertical="center"/>
    </xf>
    <xf numFmtId="0" fontId="8" fillId="4" borderId="22" xfId="0" applyFont="1" applyFill="1" applyBorder="1" applyAlignment="1">
      <alignment horizontal="center" vertical="center"/>
    </xf>
    <xf numFmtId="0" fontId="8" fillId="4" borderId="33" xfId="0" applyFont="1" applyFill="1" applyBorder="1" applyAlignment="1">
      <alignment horizontal="center" vertical="center"/>
    </xf>
    <xf numFmtId="0" fontId="1" fillId="0" borderId="0" xfId="0" applyFont="1" applyAlignment="1">
      <alignment vertical="center"/>
    </xf>
    <xf numFmtId="0" fontId="31" fillId="0" borderId="34" xfId="0" applyFont="1" applyBorder="1" applyAlignment="1">
      <alignment vertical="top" wrapText="1"/>
    </xf>
    <xf numFmtId="49" fontId="1" fillId="0" borderId="26" xfId="0" applyNumberFormat="1" applyFont="1" applyBorder="1" applyAlignment="1">
      <alignment vertical="top"/>
    </xf>
    <xf numFmtId="0" fontId="1" fillId="0" borderId="26" xfId="0" applyFont="1" applyBorder="1" applyAlignment="1">
      <alignment vertical="top"/>
    </xf>
    <xf numFmtId="15" fontId="1" fillId="0" borderId="26" xfId="0" applyNumberFormat="1" applyFont="1" applyBorder="1" applyAlignment="1">
      <alignment vertical="top"/>
    </xf>
    <xf numFmtId="0" fontId="31" fillId="0" borderId="35" xfId="0" applyFont="1" applyBorder="1" applyAlignment="1">
      <alignment vertical="top" wrapText="1"/>
    </xf>
    <xf numFmtId="0" fontId="1" fillId="0" borderId="0" xfId="0" applyFont="1" applyAlignment="1">
      <alignment vertical="top"/>
    </xf>
    <xf numFmtId="15" fontId="1" fillId="0" borderId="34" xfId="0" applyNumberFormat="1" applyFont="1" applyBorder="1" applyAlignment="1">
      <alignment vertical="top"/>
    </xf>
    <xf numFmtId="0" fontId="1" fillId="0" borderId="35" xfId="0" applyFont="1" applyBorder="1" applyAlignment="1">
      <alignment vertical="top"/>
    </xf>
    <xf numFmtId="15" fontId="1" fillId="0" borderId="36" xfId="0" applyNumberFormat="1" applyFont="1" applyBorder="1" applyAlignment="1">
      <alignment vertical="top"/>
    </xf>
    <xf numFmtId="49" fontId="1" fillId="0" borderId="30" xfId="0" applyNumberFormat="1" applyFont="1" applyBorder="1" applyAlignment="1">
      <alignment vertical="top"/>
    </xf>
    <xf numFmtId="0" fontId="1" fillId="0" borderId="30" xfId="0" applyFont="1" applyBorder="1" applyAlignment="1">
      <alignment vertical="top"/>
    </xf>
    <xf numFmtId="0" fontId="1" fillId="0" borderId="37" xfId="0" applyFont="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xdr:row>
      <xdr:rowOff>0</xdr:rowOff>
    </xdr:from>
    <xdr:ext cx="2143125" cy="781050"/>
    <xdr:pic>
      <xdr:nvPicPr>
        <xdr:cNvPr id="2" name="image1.png"/>
        <xdr:cNvPicPr preferRelativeResize="0"/>
      </xdr:nvPicPr>
      <xdr:blipFill>
        <a:blip r:embed="rId1" cstate="print"/>
        <a:stretch>
          <a:fillRect/>
        </a:stretch>
      </xdr:blipFill>
      <xdr:spPr>
        <a:xfrm>
          <a:off x="0" y="161925"/>
          <a:ext cx="2143125" cy="7810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selection activeCell="F6" sqref="F6"/>
    </sheetView>
  </sheetViews>
  <sheetFormatPr defaultColWidth="12.6296296296296" defaultRowHeight="15" customHeight="1"/>
  <cols>
    <col min="1" max="1" width="28.1296296296296" customWidth="1"/>
    <col min="2" max="2" width="10" customWidth="1"/>
    <col min="3" max="3" width="14.3796296296296" customWidth="1"/>
    <col min="4" max="4" width="8" customWidth="1"/>
    <col min="5" max="5" width="38" customWidth="1"/>
    <col min="6" max="6" width="48.1296296296296" customWidth="1"/>
    <col min="7" max="26" width="9" customWidth="1"/>
  </cols>
  <sheetData>
    <row r="1" ht="12.75" customHeight="1" spans="1:26">
      <c r="A1" s="129"/>
      <c r="B1" s="130"/>
      <c r="C1" s="130"/>
      <c r="D1" s="130"/>
      <c r="E1" s="130"/>
      <c r="F1" s="130"/>
      <c r="G1" s="130"/>
      <c r="H1" s="130"/>
      <c r="I1" s="130"/>
      <c r="J1" s="130"/>
      <c r="K1" s="130"/>
      <c r="L1" s="130"/>
      <c r="M1" s="130"/>
      <c r="N1" s="130"/>
      <c r="O1" s="130"/>
      <c r="P1" s="130"/>
      <c r="Q1" s="130"/>
      <c r="R1" s="130"/>
      <c r="S1" s="130"/>
      <c r="T1" s="130"/>
      <c r="U1" s="130"/>
      <c r="V1" s="130"/>
      <c r="W1" s="130"/>
      <c r="X1" s="130"/>
      <c r="Y1" s="130"/>
      <c r="Z1" s="130"/>
    </row>
    <row r="2" ht="75.75" customHeight="1" spans="1:26">
      <c r="A2" s="131"/>
      <c r="B2" s="132" t="s">
        <v>0</v>
      </c>
      <c r="C2" s="11"/>
      <c r="D2" s="11"/>
      <c r="E2" s="11"/>
      <c r="F2" s="73"/>
      <c r="G2" s="133"/>
      <c r="H2" s="133"/>
      <c r="I2" s="133"/>
      <c r="J2" s="133"/>
      <c r="K2" s="133"/>
      <c r="L2" s="133"/>
      <c r="M2" s="133"/>
      <c r="N2" s="133"/>
      <c r="O2" s="133"/>
      <c r="P2" s="133"/>
      <c r="Q2" s="133"/>
      <c r="R2" s="133"/>
      <c r="S2" s="133"/>
      <c r="T2" s="133"/>
      <c r="U2" s="133"/>
      <c r="V2" s="133"/>
      <c r="W2" s="133"/>
      <c r="X2" s="133"/>
      <c r="Y2" s="133"/>
      <c r="Z2" s="133"/>
    </row>
    <row r="3" ht="12.75" customHeight="1" spans="1:26">
      <c r="A3" s="100"/>
      <c r="B3" s="134"/>
      <c r="C3" s="130"/>
      <c r="D3" s="130"/>
      <c r="E3" s="1"/>
      <c r="F3" s="130"/>
      <c r="G3" s="130"/>
      <c r="H3" s="130"/>
      <c r="I3" s="130"/>
      <c r="J3" s="130"/>
      <c r="K3" s="130"/>
      <c r="L3" s="130"/>
      <c r="M3" s="130"/>
      <c r="N3" s="130"/>
      <c r="O3" s="130"/>
      <c r="P3" s="130"/>
      <c r="Q3" s="130"/>
      <c r="R3" s="130"/>
      <c r="S3" s="130"/>
      <c r="T3" s="130"/>
      <c r="U3" s="130"/>
      <c r="V3" s="130"/>
      <c r="W3" s="130"/>
      <c r="X3" s="130"/>
      <c r="Y3" s="130"/>
      <c r="Z3" s="130"/>
    </row>
    <row r="4" ht="14.25" customHeight="1" spans="1:26">
      <c r="A4" s="135" t="s">
        <v>1</v>
      </c>
      <c r="B4" s="136" t="s">
        <v>2</v>
      </c>
      <c r="C4" s="11"/>
      <c r="D4" s="73"/>
      <c r="E4" s="135" t="s">
        <v>3</v>
      </c>
      <c r="F4" s="137" t="s">
        <v>4</v>
      </c>
      <c r="G4" s="130"/>
      <c r="H4" s="130"/>
      <c r="I4" s="130"/>
      <c r="J4" s="130"/>
      <c r="K4" s="130"/>
      <c r="L4" s="130"/>
      <c r="M4" s="130"/>
      <c r="N4" s="130"/>
      <c r="O4" s="130"/>
      <c r="P4" s="130"/>
      <c r="Q4" s="130"/>
      <c r="R4" s="130"/>
      <c r="S4" s="130"/>
      <c r="T4" s="130"/>
      <c r="U4" s="130"/>
      <c r="V4" s="130"/>
      <c r="W4" s="130"/>
      <c r="X4" s="130"/>
      <c r="Y4" s="130"/>
      <c r="Z4" s="130"/>
    </row>
    <row r="5" ht="14.25" customHeight="1" spans="1:26">
      <c r="A5" s="135" t="s">
        <v>5</v>
      </c>
      <c r="B5" s="136" t="s">
        <v>6</v>
      </c>
      <c r="C5" s="11"/>
      <c r="D5" s="73"/>
      <c r="E5" s="135" t="s">
        <v>7</v>
      </c>
      <c r="F5" s="138">
        <v>45992</v>
      </c>
      <c r="G5" s="130"/>
      <c r="H5" s="130"/>
      <c r="I5" s="130"/>
      <c r="J5" s="130"/>
      <c r="K5" s="130"/>
      <c r="L5" s="130"/>
      <c r="M5" s="130"/>
      <c r="N5" s="130"/>
      <c r="O5" s="130"/>
      <c r="P5" s="130"/>
      <c r="Q5" s="130"/>
      <c r="R5" s="130"/>
      <c r="S5" s="130"/>
      <c r="T5" s="130"/>
      <c r="U5" s="130"/>
      <c r="V5" s="130"/>
      <c r="W5" s="130"/>
      <c r="X5" s="130"/>
      <c r="Y5" s="130"/>
      <c r="Z5" s="130"/>
    </row>
    <row r="6" ht="15.75" customHeight="1" spans="1:26">
      <c r="A6" s="139" t="s">
        <v>8</v>
      </c>
      <c r="B6" s="140" t="str">
        <f>B5&amp;"_"&amp;"XXX"&amp;"_"&amp;"vx.x"</f>
        <v>LSSCTC_XXX_vx.x</v>
      </c>
      <c r="C6" s="11"/>
      <c r="D6" s="73"/>
      <c r="E6" s="135" t="s">
        <v>9</v>
      </c>
      <c r="F6" s="141">
        <v>1</v>
      </c>
      <c r="G6" s="130"/>
      <c r="H6" s="130"/>
      <c r="I6" s="130"/>
      <c r="J6" s="130"/>
      <c r="K6" s="130"/>
      <c r="L6" s="130"/>
      <c r="M6" s="130"/>
      <c r="N6" s="130"/>
      <c r="O6" s="130"/>
      <c r="P6" s="130"/>
      <c r="Q6" s="130"/>
      <c r="R6" s="130"/>
      <c r="S6" s="130"/>
      <c r="T6" s="130"/>
      <c r="U6" s="130"/>
      <c r="V6" s="130"/>
      <c r="W6" s="130"/>
      <c r="X6" s="130"/>
      <c r="Y6" s="130"/>
      <c r="Z6" s="130"/>
    </row>
    <row r="7" ht="12.75" customHeight="1" spans="1:26">
      <c r="A7" s="142"/>
      <c r="B7" s="134"/>
      <c r="C7" s="130"/>
      <c r="D7" s="130"/>
      <c r="E7" s="143"/>
      <c r="F7" s="134"/>
      <c r="G7" s="130"/>
      <c r="H7" s="130"/>
      <c r="I7" s="130"/>
      <c r="J7" s="130"/>
      <c r="K7" s="130"/>
      <c r="L7" s="130"/>
      <c r="M7" s="130"/>
      <c r="N7" s="130"/>
      <c r="O7" s="130"/>
      <c r="P7" s="130"/>
      <c r="Q7" s="130"/>
      <c r="R7" s="130"/>
      <c r="S7" s="130"/>
      <c r="T7" s="130"/>
      <c r="U7" s="130"/>
      <c r="V7" s="130"/>
      <c r="W7" s="130"/>
      <c r="X7" s="130"/>
      <c r="Y7" s="130"/>
      <c r="Z7" s="130"/>
    </row>
    <row r="8" ht="12.75" customHeight="1" spans="1:26">
      <c r="A8" s="130"/>
      <c r="B8" s="130"/>
      <c r="C8" s="130"/>
      <c r="D8" s="130"/>
      <c r="E8" s="130"/>
      <c r="F8" s="130"/>
      <c r="G8" s="130"/>
      <c r="H8" s="130"/>
      <c r="I8" s="130"/>
      <c r="J8" s="130"/>
      <c r="K8" s="130"/>
      <c r="L8" s="130"/>
      <c r="M8" s="130"/>
      <c r="N8" s="130"/>
      <c r="O8" s="130"/>
      <c r="P8" s="130"/>
      <c r="Q8" s="130"/>
      <c r="R8" s="130"/>
      <c r="S8" s="130"/>
      <c r="T8" s="130"/>
      <c r="U8" s="130"/>
      <c r="V8" s="130"/>
      <c r="W8" s="130"/>
      <c r="X8" s="130"/>
      <c r="Y8" s="130"/>
      <c r="Z8" s="130"/>
    </row>
    <row r="9" ht="12.75" customHeight="1" spans="1:26">
      <c r="A9" s="144" t="s">
        <v>10</v>
      </c>
      <c r="B9" s="130"/>
      <c r="C9" s="130"/>
      <c r="D9" s="130"/>
      <c r="E9" s="130"/>
      <c r="F9" s="130"/>
      <c r="G9" s="130"/>
      <c r="H9" s="130"/>
      <c r="I9" s="130"/>
      <c r="J9" s="130"/>
      <c r="K9" s="130"/>
      <c r="L9" s="130"/>
      <c r="M9" s="130"/>
      <c r="N9" s="130"/>
      <c r="O9" s="130"/>
      <c r="P9" s="130"/>
      <c r="Q9" s="130"/>
      <c r="R9" s="130"/>
      <c r="S9" s="130"/>
      <c r="T9" s="130"/>
      <c r="U9" s="130"/>
      <c r="V9" s="130"/>
      <c r="W9" s="130"/>
      <c r="X9" s="130"/>
      <c r="Y9" s="130"/>
      <c r="Z9" s="130"/>
    </row>
    <row r="10" ht="12.75" customHeight="1" spans="1:26">
      <c r="A10" s="145" t="s">
        <v>11</v>
      </c>
      <c r="B10" s="146" t="s">
        <v>9</v>
      </c>
      <c r="C10" s="146" t="s">
        <v>12</v>
      </c>
      <c r="D10" s="146" t="s">
        <v>13</v>
      </c>
      <c r="E10" s="146" t="s">
        <v>14</v>
      </c>
      <c r="F10" s="147" t="s">
        <v>15</v>
      </c>
      <c r="G10" s="148"/>
      <c r="H10" s="148"/>
      <c r="I10" s="148"/>
      <c r="J10" s="148"/>
      <c r="K10" s="148"/>
      <c r="L10" s="148"/>
      <c r="M10" s="148"/>
      <c r="N10" s="148"/>
      <c r="O10" s="148"/>
      <c r="P10" s="148"/>
      <c r="Q10" s="148"/>
      <c r="R10" s="148"/>
      <c r="S10" s="148"/>
      <c r="T10" s="148"/>
      <c r="U10" s="148"/>
      <c r="V10" s="148"/>
      <c r="W10" s="148"/>
      <c r="X10" s="148"/>
      <c r="Y10" s="148"/>
      <c r="Z10" s="148"/>
    </row>
    <row r="11" ht="26.25" customHeight="1" spans="1:26">
      <c r="A11" s="149" t="s">
        <v>16</v>
      </c>
      <c r="B11" s="150"/>
      <c r="C11" s="151"/>
      <c r="D11" s="151"/>
      <c r="E11" s="152"/>
      <c r="F11" s="153" t="s">
        <v>17</v>
      </c>
      <c r="G11" s="154"/>
      <c r="H11" s="154"/>
      <c r="I11" s="154"/>
      <c r="J11" s="154"/>
      <c r="K11" s="154"/>
      <c r="L11" s="154"/>
      <c r="M11" s="154"/>
      <c r="N11" s="154"/>
      <c r="O11" s="154"/>
      <c r="P11" s="154"/>
      <c r="Q11" s="154"/>
      <c r="R11" s="154"/>
      <c r="S11" s="154"/>
      <c r="T11" s="154"/>
      <c r="U11" s="154"/>
      <c r="V11" s="154"/>
      <c r="W11" s="154"/>
      <c r="X11" s="154"/>
      <c r="Y11" s="154"/>
      <c r="Z11" s="154"/>
    </row>
    <row r="12" ht="21.75" customHeight="1" spans="1:26">
      <c r="A12" s="155"/>
      <c r="B12" s="150"/>
      <c r="C12" s="151"/>
      <c r="D12" s="151"/>
      <c r="E12" s="151"/>
      <c r="F12" s="156"/>
      <c r="G12" s="154"/>
      <c r="H12" s="154"/>
      <c r="I12" s="154"/>
      <c r="J12" s="154"/>
      <c r="K12" s="154"/>
      <c r="L12" s="154"/>
      <c r="M12" s="154"/>
      <c r="N12" s="154"/>
      <c r="O12" s="154"/>
      <c r="P12" s="154"/>
      <c r="Q12" s="154"/>
      <c r="R12" s="154"/>
      <c r="S12" s="154"/>
      <c r="T12" s="154"/>
      <c r="U12" s="154"/>
      <c r="V12" s="154"/>
      <c r="W12" s="154"/>
      <c r="X12" s="154"/>
      <c r="Y12" s="154"/>
      <c r="Z12" s="154"/>
    </row>
    <row r="13" ht="19.5" customHeight="1" spans="1:26">
      <c r="A13" s="155"/>
      <c r="B13" s="150"/>
      <c r="C13" s="151"/>
      <c r="D13" s="151"/>
      <c r="E13" s="151"/>
      <c r="F13" s="156"/>
      <c r="G13" s="154"/>
      <c r="H13" s="154"/>
      <c r="I13" s="154"/>
      <c r="J13" s="154"/>
      <c r="K13" s="154"/>
      <c r="L13" s="154"/>
      <c r="M13" s="154"/>
      <c r="N13" s="154"/>
      <c r="O13" s="154"/>
      <c r="P13" s="154"/>
      <c r="Q13" s="154"/>
      <c r="R13" s="154"/>
      <c r="S13" s="154"/>
      <c r="T13" s="154"/>
      <c r="U13" s="154"/>
      <c r="V13" s="154"/>
      <c r="W13" s="154"/>
      <c r="X13" s="154"/>
      <c r="Y13" s="154"/>
      <c r="Z13" s="154"/>
    </row>
    <row r="14" ht="21.75" customHeight="1" spans="1:26">
      <c r="A14" s="155"/>
      <c r="B14" s="150"/>
      <c r="C14" s="151"/>
      <c r="D14" s="151"/>
      <c r="E14" s="151"/>
      <c r="F14" s="156"/>
      <c r="G14" s="154"/>
      <c r="H14" s="154"/>
      <c r="I14" s="154"/>
      <c r="J14" s="154"/>
      <c r="K14" s="154"/>
      <c r="L14" s="154"/>
      <c r="M14" s="154"/>
      <c r="N14" s="154"/>
      <c r="O14" s="154"/>
      <c r="P14" s="154"/>
      <c r="Q14" s="154"/>
      <c r="R14" s="154"/>
      <c r="S14" s="154"/>
      <c r="T14" s="154"/>
      <c r="U14" s="154"/>
      <c r="V14" s="154"/>
      <c r="W14" s="154"/>
      <c r="X14" s="154"/>
      <c r="Y14" s="154"/>
      <c r="Z14" s="154"/>
    </row>
    <row r="15" ht="19.5" customHeight="1" spans="1:26">
      <c r="A15" s="155"/>
      <c r="B15" s="150"/>
      <c r="C15" s="151"/>
      <c r="D15" s="151"/>
      <c r="E15" s="151"/>
      <c r="F15" s="156"/>
      <c r="G15" s="154"/>
      <c r="H15" s="154"/>
      <c r="I15" s="154"/>
      <c r="J15" s="154"/>
      <c r="K15" s="154"/>
      <c r="L15" s="154"/>
      <c r="M15" s="154"/>
      <c r="N15" s="154"/>
      <c r="O15" s="154"/>
      <c r="P15" s="154"/>
      <c r="Q15" s="154"/>
      <c r="R15" s="154"/>
      <c r="S15" s="154"/>
      <c r="T15" s="154"/>
      <c r="U15" s="154"/>
      <c r="V15" s="154"/>
      <c r="W15" s="154"/>
      <c r="X15" s="154"/>
      <c r="Y15" s="154"/>
      <c r="Z15" s="154"/>
    </row>
    <row r="16" ht="21.75" customHeight="1" spans="1:26">
      <c r="A16" s="155"/>
      <c r="B16" s="150"/>
      <c r="C16" s="151"/>
      <c r="D16" s="151"/>
      <c r="E16" s="151"/>
      <c r="F16" s="156"/>
      <c r="G16" s="154"/>
      <c r="H16" s="154"/>
      <c r="I16" s="154"/>
      <c r="J16" s="154"/>
      <c r="K16" s="154"/>
      <c r="L16" s="154"/>
      <c r="M16" s="154"/>
      <c r="N16" s="154"/>
      <c r="O16" s="154"/>
      <c r="P16" s="154"/>
      <c r="Q16" s="154"/>
      <c r="R16" s="154"/>
      <c r="S16" s="154"/>
      <c r="T16" s="154"/>
      <c r="U16" s="154"/>
      <c r="V16" s="154"/>
      <c r="W16" s="154"/>
      <c r="X16" s="154"/>
      <c r="Y16" s="154"/>
      <c r="Z16" s="154"/>
    </row>
    <row r="17" ht="19.5" customHeight="1" spans="1:26">
      <c r="A17" s="157"/>
      <c r="B17" s="158"/>
      <c r="C17" s="159"/>
      <c r="D17" s="159"/>
      <c r="E17" s="159"/>
      <c r="F17" s="160"/>
      <c r="G17" s="154"/>
      <c r="H17" s="154"/>
      <c r="I17" s="154"/>
      <c r="J17" s="154"/>
      <c r="K17" s="154"/>
      <c r="L17" s="154"/>
      <c r="M17" s="154"/>
      <c r="N17" s="154"/>
      <c r="O17" s="154"/>
      <c r="P17" s="154"/>
      <c r="Q17" s="154"/>
      <c r="R17" s="154"/>
      <c r="S17" s="154"/>
      <c r="T17" s="154"/>
      <c r="U17" s="154"/>
      <c r="V17" s="154"/>
      <c r="W17" s="154"/>
      <c r="X17" s="154"/>
      <c r="Y17" s="154"/>
      <c r="Z17" s="154"/>
    </row>
    <row r="18" ht="12.75" customHeight="1" spans="1:26">
      <c r="A18" s="129"/>
      <c r="B18" s="130"/>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row>
    <row r="19" ht="12.75" customHeight="1" spans="1:26">
      <c r="A19" s="129"/>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row>
    <row r="20" ht="12.75" customHeight="1" spans="1:26">
      <c r="A20" s="129"/>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row>
    <row r="21" ht="12.75" customHeight="1" spans="1:26">
      <c r="A21" s="129"/>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row>
    <row r="22" ht="12.75" customHeight="1" spans="1:26">
      <c r="A22" s="129"/>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row>
    <row r="23" ht="12.75" customHeight="1" spans="1:26">
      <c r="A23" s="129"/>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row>
    <row r="24" ht="12.75" customHeight="1" spans="1:26">
      <c r="A24" s="129"/>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row>
    <row r="25" ht="12.75" customHeight="1" spans="1:26">
      <c r="A25" s="129"/>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row>
    <row r="26" ht="12.75" customHeight="1" spans="1:26">
      <c r="A26" s="129"/>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row>
    <row r="27" ht="12.75" customHeight="1" spans="1:26">
      <c r="A27" s="129"/>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row>
    <row r="28" ht="12.75" customHeight="1" spans="1:26">
      <c r="A28" s="129"/>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row>
    <row r="29" ht="12.75" customHeight="1" spans="1:26">
      <c r="A29" s="129"/>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row>
    <row r="30" ht="12.75" customHeight="1" spans="1:26">
      <c r="A30" s="129"/>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ht="12.75" customHeight="1" spans="1:26">
      <c r="A31" s="129"/>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ht="12.75" customHeight="1" spans="1:26">
      <c r="A32" s="129"/>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ht="12.75" customHeight="1" spans="1:26">
      <c r="A33" s="129"/>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ht="12.75" customHeight="1" spans="1:26">
      <c r="A34" s="129"/>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ht="12.75" customHeight="1" spans="1:26">
      <c r="A35" s="129"/>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ht="12.75" customHeight="1" spans="1:26">
      <c r="A36" s="129"/>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ht="12.75" customHeight="1" spans="1:26">
      <c r="A37" s="129"/>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ht="12.75" customHeight="1" spans="1:26">
      <c r="A38" s="129"/>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ht="12.75" customHeight="1" spans="1:26">
      <c r="A39" s="129"/>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ht="12.75" customHeight="1" spans="1:26">
      <c r="A40" s="129"/>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ht="12.75" customHeight="1" spans="1:26">
      <c r="A41" s="129"/>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ht="12.75" customHeight="1" spans="1:26">
      <c r="A42" s="129"/>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ht="12.75" customHeight="1" spans="1:26">
      <c r="A43" s="129"/>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ht="12.75" customHeight="1" spans="1:26">
      <c r="A44" s="129"/>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ht="12.75" customHeight="1" spans="1:26">
      <c r="A45" s="129"/>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ht="12.75" customHeight="1" spans="1:26">
      <c r="A46" s="129"/>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ht="12.75" customHeight="1" spans="1:26">
      <c r="A47" s="129"/>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ht="12.75" customHeight="1" spans="1:26">
      <c r="A48" s="129"/>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ht="12.75" customHeight="1" spans="1:26">
      <c r="A49" s="129"/>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ht="12.75" customHeight="1" spans="1:26">
      <c r="A50" s="129"/>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ht="12.75" customHeight="1" spans="1:26">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ht="12.75" customHeight="1" spans="1:26">
      <c r="A52" s="129"/>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row>
    <row r="53" ht="12.75" customHeight="1" spans="1:26">
      <c r="A53" s="129"/>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row>
    <row r="54" ht="12.75" customHeight="1" spans="1:26">
      <c r="A54" s="129"/>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row>
    <row r="55" ht="12.75" customHeight="1" spans="1:26">
      <c r="A55" s="129"/>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row>
    <row r="56" ht="12.75" customHeight="1" spans="1:26">
      <c r="A56" s="129"/>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row>
    <row r="57" ht="12.75" customHeight="1" spans="1:26">
      <c r="A57" s="129"/>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row>
    <row r="58" ht="12.75" customHeight="1" spans="1:26">
      <c r="A58" s="129"/>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row>
    <row r="59" ht="12.75" customHeight="1" spans="1:26">
      <c r="A59" s="129"/>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row>
    <row r="60" ht="12.75" customHeight="1" spans="1:26">
      <c r="A60" s="129"/>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row>
    <row r="61" ht="12.75" customHeight="1" spans="1:26">
      <c r="A61" s="129"/>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row>
    <row r="62" ht="12.75" customHeight="1" spans="1:26">
      <c r="A62" s="129"/>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row>
    <row r="63" ht="12.75" customHeight="1" spans="1:26">
      <c r="A63" s="129"/>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row>
    <row r="64" ht="12.75" customHeight="1" spans="1:26">
      <c r="A64" s="129"/>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row>
    <row r="65" ht="12.75" customHeight="1" spans="1:26">
      <c r="A65" s="129"/>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ht="12.75" customHeight="1" spans="1:26">
      <c r="A66" s="129"/>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row>
    <row r="67" ht="12.75" customHeight="1" spans="1:26">
      <c r="A67" s="129"/>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row>
    <row r="68" ht="12.75" customHeight="1" spans="1:26">
      <c r="A68" s="129"/>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row>
    <row r="69" ht="12.75" customHeight="1" spans="1:26">
      <c r="A69" s="129"/>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row>
    <row r="70" ht="12.75" customHeight="1" spans="1:26">
      <c r="A70" s="129"/>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ht="12.75" customHeight="1" spans="1:26">
      <c r="A71" s="129"/>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ht="12.75" customHeight="1" spans="1:26">
      <c r="A72" s="129"/>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ht="12.75" customHeight="1" spans="1:26">
      <c r="A73" s="129"/>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ht="12.75" customHeight="1" spans="1:26">
      <c r="A74" s="129"/>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row>
    <row r="75" ht="12.75" customHeight="1" spans="1:26">
      <c r="A75" s="129"/>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ht="12.75" customHeight="1" spans="1:26">
      <c r="A76" s="129"/>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ht="12.75" customHeight="1" spans="1:26">
      <c r="A77" s="129"/>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ht="12.75" customHeight="1" spans="1:26">
      <c r="A78" s="129"/>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ht="12.75" customHeight="1" spans="1:26">
      <c r="A79" s="129"/>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ht="12.75" customHeight="1" spans="1:26">
      <c r="A80" s="129"/>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ht="12.75" customHeight="1" spans="1:26">
      <c r="A81" s="129"/>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row>
    <row r="82" ht="12.75" customHeight="1" spans="1:26">
      <c r="A82" s="129"/>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row>
    <row r="83" ht="12.75" customHeight="1" spans="1:26">
      <c r="A83" s="129"/>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row>
    <row r="84" ht="12.75" customHeight="1" spans="1:26">
      <c r="A84" s="129"/>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row>
    <row r="85" ht="12.75" customHeight="1" spans="1:26">
      <c r="A85" s="129"/>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row>
    <row r="86" ht="12.75" customHeight="1" spans="1:26">
      <c r="A86" s="129"/>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row>
    <row r="87" ht="12.75" customHeight="1" spans="1:26">
      <c r="A87" s="129"/>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row>
    <row r="88" ht="12.75" customHeight="1" spans="1:26">
      <c r="A88" s="129"/>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row>
    <row r="89" ht="12.75" customHeight="1" spans="1:26">
      <c r="A89" s="129"/>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row>
    <row r="90" ht="12.75" customHeight="1" spans="1:26">
      <c r="A90" s="129"/>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row>
    <row r="91" ht="12.75" customHeight="1" spans="1:26">
      <c r="A91" s="129"/>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row>
    <row r="92" ht="12.75" customHeight="1" spans="1:26">
      <c r="A92" s="129"/>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row>
    <row r="93" ht="12.75" customHeight="1" spans="1:26">
      <c r="A93" s="129"/>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row>
    <row r="94" ht="12.75" customHeight="1" spans="1:26">
      <c r="A94" s="129"/>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row>
    <row r="95" ht="12.75" customHeight="1" spans="1:26">
      <c r="A95" s="129"/>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row>
    <row r="96" ht="12.75" customHeight="1" spans="1:26">
      <c r="A96" s="129"/>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row>
    <row r="97" ht="12.75" customHeight="1" spans="1:26">
      <c r="A97" s="129"/>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row>
    <row r="98" ht="12.75" customHeight="1" spans="1:26">
      <c r="A98" s="129"/>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row>
    <row r="99" ht="12.75" customHeight="1" spans="1:26">
      <c r="A99" s="129"/>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row>
    <row r="100" ht="12.75" customHeight="1" spans="1:26">
      <c r="A100" s="129"/>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row>
    <row r="101" ht="12.75" customHeight="1" spans="1:26">
      <c r="A101" s="129"/>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row>
    <row r="102" ht="12.75" customHeight="1" spans="1:26">
      <c r="A102" s="129"/>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row>
    <row r="103" ht="12.75" customHeight="1" spans="1:26">
      <c r="A103" s="129"/>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row>
    <row r="104" ht="12.75" customHeight="1" spans="1:26">
      <c r="A104" s="129"/>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row>
    <row r="105" ht="12.75" customHeight="1" spans="1:26">
      <c r="A105" s="129"/>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row>
    <row r="106" ht="12.75" customHeight="1" spans="1:26">
      <c r="A106" s="129"/>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row>
    <row r="107" ht="12.75" customHeight="1" spans="1:26">
      <c r="A107" s="129"/>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row>
    <row r="108" ht="12.75" customHeight="1" spans="1:26">
      <c r="A108" s="129"/>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row>
    <row r="109" ht="12.75" customHeight="1" spans="1:26">
      <c r="A109" s="129"/>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ht="12.75" customHeight="1" spans="1:26">
      <c r="A110" s="129"/>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ht="12.75" customHeight="1" spans="1:26">
      <c r="A111" s="129"/>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ht="12.75" customHeight="1" spans="1:26">
      <c r="A112" s="129"/>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row>
    <row r="113" ht="12.75" customHeight="1" spans="1:26">
      <c r="A113" s="129"/>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ht="12.75" customHeight="1" spans="1:26">
      <c r="A114" s="129"/>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ht="12.75" customHeight="1" spans="1:26">
      <c r="A115" s="129"/>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ht="12.75" customHeight="1" spans="1:26">
      <c r="A116" s="129"/>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ht="12.75" customHeight="1" spans="1:26">
      <c r="A117" s="129"/>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ht="12.75" customHeight="1" spans="1:26">
      <c r="A118" s="129"/>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ht="12.75" customHeight="1" spans="1:26">
      <c r="A119" s="129"/>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ht="12.75" customHeight="1" spans="1:26">
      <c r="A120" s="129"/>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ht="12.75" customHeight="1" spans="1:26">
      <c r="A121" s="129"/>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ht="12.75" customHeight="1" spans="1:26">
      <c r="A122" s="129"/>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ht="12.75" customHeight="1" spans="1:26">
      <c r="A123" s="129"/>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ht="12.75" customHeight="1" spans="1:26">
      <c r="A124" s="129"/>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ht="12.75" customHeight="1" spans="1:26">
      <c r="A125" s="129"/>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ht="12.75" customHeight="1" spans="1:26">
      <c r="A126" s="129"/>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ht="12.75" customHeight="1" spans="1:26">
      <c r="A127" s="129"/>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ht="12.75" customHeight="1" spans="1:26">
      <c r="A128" s="129"/>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ht="12.75" customHeight="1" spans="1:26">
      <c r="A129" s="129"/>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ht="12.75" customHeight="1" spans="1:26">
      <c r="A130" s="129"/>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ht="12.75" customHeight="1" spans="1:26">
      <c r="A131" s="129"/>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ht="12.75" customHeight="1" spans="1:26">
      <c r="A132" s="129"/>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ht="12.75" customHeight="1" spans="1:26">
      <c r="A133" s="129"/>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ht="12.75" customHeight="1" spans="1:26">
      <c r="A134" s="129"/>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row>
    <row r="135" ht="12.75" customHeight="1" spans="1:26">
      <c r="A135" s="129"/>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row>
    <row r="136" ht="12.75" customHeight="1" spans="1:26">
      <c r="A136" s="129"/>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row>
    <row r="137" ht="12.75" customHeight="1" spans="1:26">
      <c r="A137" s="129"/>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row>
    <row r="138" ht="12.75" customHeight="1" spans="1:26">
      <c r="A138" s="129"/>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row>
    <row r="139" ht="12.75" customHeight="1" spans="1:26">
      <c r="A139" s="129"/>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row>
    <row r="140" ht="12.75" customHeight="1" spans="1:26">
      <c r="A140" s="129"/>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row>
    <row r="141" ht="12.75" customHeight="1" spans="1:26">
      <c r="A141" s="129"/>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row>
    <row r="142" ht="12.75" customHeight="1" spans="1:26">
      <c r="A142" s="129"/>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row>
    <row r="143" ht="12.75" customHeight="1" spans="1:26">
      <c r="A143" s="129"/>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row>
    <row r="144" ht="12.75" customHeight="1" spans="1:26">
      <c r="A144" s="129"/>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row>
    <row r="145" ht="12.75" customHeight="1" spans="1:26">
      <c r="A145" s="129"/>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row>
    <row r="146" ht="12.75" customHeight="1" spans="1:26">
      <c r="A146" s="129"/>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row>
    <row r="147" ht="12.75" customHeight="1" spans="1:26">
      <c r="A147" s="129"/>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row>
    <row r="148" ht="12.75" customHeight="1" spans="1:26">
      <c r="A148" s="129"/>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row>
    <row r="149" ht="12.75" customHeight="1" spans="1:26">
      <c r="A149" s="129"/>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row>
    <row r="150" ht="12.75" customHeight="1" spans="1:26">
      <c r="A150" s="129"/>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row>
    <row r="151" ht="12.75" customHeight="1" spans="1:26">
      <c r="A151" s="129"/>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row>
    <row r="152" ht="12.75" customHeight="1" spans="1:26">
      <c r="A152" s="129"/>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row>
    <row r="153" ht="12.75" customHeight="1" spans="1:26">
      <c r="A153" s="129"/>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row>
    <row r="154" ht="12.75" customHeight="1" spans="1:26">
      <c r="A154" s="129"/>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row>
    <row r="155" ht="12.75" customHeight="1" spans="1:26">
      <c r="A155" s="129"/>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row>
    <row r="156" ht="12.75" customHeight="1" spans="1:26">
      <c r="A156" s="129"/>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row>
    <row r="157" ht="12.75" customHeight="1" spans="1:26">
      <c r="A157" s="129"/>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row>
    <row r="158" ht="12.75" customHeight="1" spans="1:26">
      <c r="A158" s="129"/>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row>
    <row r="159" ht="12.75" customHeight="1" spans="1:26">
      <c r="A159" s="129"/>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row>
    <row r="160" ht="12.75" customHeight="1" spans="1:26">
      <c r="A160" s="129"/>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row>
    <row r="161" ht="12.75" customHeight="1" spans="1:26">
      <c r="A161" s="129"/>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row>
    <row r="162" ht="12.75" customHeight="1" spans="1:26">
      <c r="A162" s="129"/>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row>
    <row r="163" ht="12.75" customHeight="1" spans="1:26">
      <c r="A163" s="129"/>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row>
    <row r="164" ht="12.75" customHeight="1" spans="1:26">
      <c r="A164" s="129"/>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row>
    <row r="165" ht="12.75" customHeight="1" spans="1:26">
      <c r="A165" s="129"/>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row>
    <row r="166" ht="12.75" customHeight="1" spans="1:26">
      <c r="A166" s="129"/>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row>
    <row r="167" ht="12.75" customHeight="1" spans="1:26">
      <c r="A167" s="129"/>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row>
    <row r="168" ht="12.75" customHeight="1" spans="1:26">
      <c r="A168" s="129"/>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row>
    <row r="169" ht="12.75" customHeight="1" spans="1:26">
      <c r="A169" s="129"/>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row>
    <row r="170" ht="12.75" customHeight="1" spans="1:26">
      <c r="A170" s="129"/>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row>
    <row r="171" ht="12.75" customHeight="1" spans="1:26">
      <c r="A171" s="129"/>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row>
    <row r="172" ht="12.75" customHeight="1" spans="1:26">
      <c r="A172" s="129"/>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row>
    <row r="173" ht="12.75" customHeight="1" spans="1:26">
      <c r="A173" s="129"/>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row>
    <row r="174" ht="12.75" customHeight="1" spans="1:26">
      <c r="A174" s="129"/>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row>
    <row r="175" ht="12.75" customHeight="1" spans="1:26">
      <c r="A175" s="129"/>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row>
    <row r="176" ht="12.75" customHeight="1" spans="1:26">
      <c r="A176" s="129"/>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row>
    <row r="177" ht="12.75" customHeight="1" spans="1:26">
      <c r="A177" s="129"/>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row>
    <row r="178" ht="12.75" customHeight="1" spans="1:26">
      <c r="A178" s="129"/>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row>
    <row r="179" ht="12.75" customHeight="1" spans="1:26">
      <c r="A179" s="129"/>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row>
    <row r="180" ht="12.75" customHeight="1" spans="1:26">
      <c r="A180" s="129"/>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row>
    <row r="181" ht="12.75" customHeight="1" spans="1:26">
      <c r="A181" s="129"/>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row>
    <row r="182" ht="12.75" customHeight="1" spans="1:26">
      <c r="A182" s="129"/>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row>
    <row r="183" ht="12.75" customHeight="1" spans="1:26">
      <c r="A183" s="129"/>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row>
    <row r="184" ht="12.75" customHeight="1" spans="1:26">
      <c r="A184" s="129"/>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row>
    <row r="185" ht="12.75" customHeight="1" spans="1:26">
      <c r="A185" s="129"/>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row>
    <row r="186" ht="12.75" customHeight="1" spans="1:26">
      <c r="A186" s="129"/>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row>
    <row r="187" ht="12.75" customHeight="1" spans="1:26">
      <c r="A187" s="129"/>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row>
    <row r="188" ht="12.75" customHeight="1" spans="1:26">
      <c r="A188" s="129"/>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row>
    <row r="189" ht="12.75" customHeight="1" spans="1:26">
      <c r="A189" s="129"/>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row>
    <row r="190" ht="12.75" customHeight="1" spans="1:26">
      <c r="A190" s="129"/>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row>
    <row r="191" ht="12.75" customHeight="1" spans="1:26">
      <c r="A191" s="129"/>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row>
    <row r="192" ht="12.75" customHeight="1" spans="1:26">
      <c r="A192" s="129"/>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row>
    <row r="193" ht="12.75" customHeight="1" spans="1:26">
      <c r="A193" s="129"/>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row>
    <row r="194" ht="12.75" customHeight="1" spans="1:26">
      <c r="A194" s="129"/>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row>
    <row r="195" ht="12.75" customHeight="1" spans="1:26">
      <c r="A195" s="129"/>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row>
    <row r="196" ht="12.75" customHeight="1" spans="1:26">
      <c r="A196" s="129"/>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row>
    <row r="197" ht="12.75" customHeight="1" spans="1:26">
      <c r="A197" s="129"/>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row>
    <row r="198" ht="12.75" customHeight="1" spans="1:26">
      <c r="A198" s="129"/>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row>
    <row r="199" ht="12.75" customHeight="1" spans="1:26">
      <c r="A199" s="129"/>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row>
    <row r="200" ht="12.75" customHeight="1" spans="1:26">
      <c r="A200" s="129"/>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row>
    <row r="201" ht="12.75" customHeight="1" spans="1:26">
      <c r="A201" s="129"/>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ht="12.75" customHeight="1" spans="1:26">
      <c r="A202" s="129"/>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ht="12.75" customHeight="1" spans="1:26">
      <c r="A203" s="129"/>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ht="12.75" customHeight="1" spans="1:26">
      <c r="A204" s="129"/>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ht="12.75" customHeight="1" spans="1:26">
      <c r="A205" s="129"/>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ht="12.75" customHeight="1" spans="1:26">
      <c r="A206" s="129"/>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ht="12.75" customHeight="1" spans="1:26">
      <c r="A207" s="129"/>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ht="12.75" customHeight="1" spans="1:26">
      <c r="A208" s="129"/>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ht="12.75" customHeight="1" spans="1:26">
      <c r="A209" s="129"/>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ht="12.75" customHeight="1" spans="1:26">
      <c r="A210" s="129"/>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ht="12.75" customHeight="1" spans="1:26">
      <c r="A211" s="129"/>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ht="12.75" customHeight="1" spans="1:26">
      <c r="A212" s="129"/>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ht="12.75" customHeight="1" spans="1:26">
      <c r="A213" s="129"/>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ht="12.75" customHeight="1" spans="1:26">
      <c r="A214" s="129"/>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ht="12.75" customHeight="1" spans="1:26">
      <c r="A215" s="129"/>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ht="12.75" customHeight="1" spans="1:26">
      <c r="A216" s="129"/>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ht="12.75" customHeight="1" spans="1:26">
      <c r="A217" s="129"/>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ht="12.75" customHeight="1" spans="1:26">
      <c r="A218" s="129"/>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ht="12.75" customHeight="1" spans="1:26">
      <c r="A219" s="129"/>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ht="12.75" customHeight="1" spans="1:26">
      <c r="A220" s="129"/>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ht="12.75" customHeight="1" spans="1:26">
      <c r="A221" s="129"/>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ht="12.75" customHeight="1" spans="1:26">
      <c r="A222" s="129"/>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ht="12.75" customHeight="1" spans="1:26">
      <c r="A223" s="129"/>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ht="12.75" customHeight="1" spans="1:26">
      <c r="A224" s="129"/>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ht="12.75" customHeight="1" spans="1:26">
      <c r="A225" s="129"/>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ht="12.75" customHeight="1" spans="1:26">
      <c r="A226" s="129"/>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ht="12.75" customHeight="1" spans="1:26">
      <c r="A227" s="129"/>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ht="12.75" customHeight="1" spans="1:26">
      <c r="A228" s="129"/>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ht="12.75" customHeight="1" spans="1:26">
      <c r="A229" s="129"/>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ht="12.75" customHeight="1" spans="1:26">
      <c r="A230" s="129"/>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ht="12.75" customHeight="1" spans="1:26">
      <c r="A231" s="129"/>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ht="12.75" customHeight="1" spans="1:26">
      <c r="A232" s="129"/>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ht="12.75" customHeight="1" spans="1:26">
      <c r="A233" s="129"/>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ht="12.75" customHeight="1" spans="1:26">
      <c r="A234" s="129"/>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ht="12.75" customHeight="1" spans="1:26">
      <c r="A235" s="129"/>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ht="12.75" customHeight="1" spans="1:26">
      <c r="A236" s="129"/>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ht="12.75" customHeight="1" spans="1:26">
      <c r="A237" s="129"/>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ht="12.75" customHeight="1" spans="1:26">
      <c r="A238" s="129"/>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ht="12.75" customHeight="1" spans="1:26">
      <c r="A239" s="129"/>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ht="12.75" customHeight="1" spans="1:26">
      <c r="A240" s="129"/>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ht="12.75" customHeight="1" spans="1:26">
      <c r="A241" s="129"/>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ht="12.75" customHeight="1" spans="1:26">
      <c r="A242" s="129"/>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ht="12.75" customHeight="1" spans="1:26">
      <c r="A243" s="129"/>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ht="12.75" customHeight="1" spans="1:26">
      <c r="A244" s="129"/>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ht="12.75" customHeight="1" spans="1:26">
      <c r="A245" s="129"/>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ht="12.75" customHeight="1" spans="1:26">
      <c r="A246" s="129"/>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ht="12.75" customHeight="1" spans="1:26">
      <c r="A247" s="129"/>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ht="12.75" customHeight="1" spans="1:26">
      <c r="A248" s="129"/>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ht="12.75" customHeight="1" spans="1:26">
      <c r="A249" s="129"/>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ht="12.75" customHeight="1" spans="1:26">
      <c r="A250" s="129"/>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ht="12.75" customHeight="1" spans="1:26">
      <c r="A251" s="129"/>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ht="12.75" customHeight="1" spans="1:26">
      <c r="A252" s="129"/>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ht="12.75" customHeight="1" spans="1:26">
      <c r="A253" s="129"/>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ht="12.75" customHeight="1" spans="1:26">
      <c r="A254" s="129"/>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ht="12.75" customHeight="1" spans="1:26">
      <c r="A255" s="129"/>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ht="12.75" customHeight="1" spans="1:26">
      <c r="A256" s="129"/>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ht="12.75" customHeight="1" spans="1:26">
      <c r="A257" s="129"/>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ht="12.75" customHeight="1" spans="1:26">
      <c r="A258" s="129"/>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ht="12.75" customHeight="1" spans="1:26">
      <c r="A259" s="129"/>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ht="12.75" customHeight="1" spans="1:26">
      <c r="A260" s="129"/>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ht="12.75" customHeight="1" spans="1:26">
      <c r="A261" s="129"/>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ht="12.75" customHeight="1" spans="1:26">
      <c r="A262" s="129"/>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ht="12.75" customHeight="1" spans="1:26">
      <c r="A263" s="129"/>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ht="12.75" customHeight="1" spans="1:26">
      <c r="A264" s="129"/>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ht="12.75" customHeight="1" spans="1:26">
      <c r="A265" s="129"/>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ht="12.75" customHeight="1" spans="1:26">
      <c r="A266" s="129"/>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ht="12.75" customHeight="1" spans="1:26">
      <c r="A267" s="129"/>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ht="12.75" customHeight="1" spans="1:26">
      <c r="A268" s="129"/>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ht="12.75" customHeight="1" spans="1:26">
      <c r="A269" s="129"/>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ht="12.75" customHeight="1" spans="1:26">
      <c r="A270" s="129"/>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ht="12.75" customHeight="1" spans="1:26">
      <c r="A271" s="129"/>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ht="12.75" customHeight="1" spans="1:26">
      <c r="A272" s="129"/>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ht="12.75" customHeight="1" spans="1:26">
      <c r="A273" s="129"/>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ht="12.75" customHeight="1" spans="1:26">
      <c r="A274" s="129"/>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ht="12.75" customHeight="1" spans="1:26">
      <c r="A275" s="129"/>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ht="12.75" customHeight="1" spans="1:26">
      <c r="A276" s="129"/>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ht="12.75" customHeight="1" spans="1:26">
      <c r="A277" s="129"/>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ht="12.75" customHeight="1" spans="1:26">
      <c r="A278" s="129"/>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ht="12.75" customHeight="1" spans="1:26">
      <c r="A279" s="129"/>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ht="12.75" customHeight="1" spans="1:26">
      <c r="A280" s="129"/>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ht="12.75" customHeight="1" spans="1:26">
      <c r="A281" s="129"/>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ht="12.75" customHeight="1" spans="1:26">
      <c r="A282" s="129"/>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ht="12.75" customHeight="1" spans="1:26">
      <c r="A283" s="129"/>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ht="12.75" customHeight="1" spans="1:26">
      <c r="A284" s="129"/>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ht="12.75" customHeight="1" spans="1:26">
      <c r="A285" s="129"/>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ht="12.75" customHeight="1" spans="1:26">
      <c r="A286" s="129"/>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ht="12.75" customHeight="1" spans="1:26">
      <c r="A287" s="129"/>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ht="12.75" customHeight="1" spans="1:26">
      <c r="A288" s="129"/>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ht="12.75" customHeight="1" spans="1:26">
      <c r="A289" s="129"/>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ht="12.75" customHeight="1" spans="1:26">
      <c r="A290" s="129"/>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ht="12.75" customHeight="1" spans="1:26">
      <c r="A291" s="129"/>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ht="12.75" customHeight="1" spans="1:26">
      <c r="A292" s="129"/>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ht="12.75" customHeight="1" spans="1:26">
      <c r="A293" s="129"/>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ht="12.75" customHeight="1" spans="1:26">
      <c r="A294" s="129"/>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ht="12.75" customHeight="1" spans="1:26">
      <c r="A295" s="129"/>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ht="12.75" customHeight="1" spans="1:26">
      <c r="A296" s="129"/>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ht="12.75" customHeight="1" spans="1:26">
      <c r="A297" s="129"/>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ht="12.75" customHeight="1" spans="1:26">
      <c r="A298" s="129"/>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ht="12.75" customHeight="1" spans="1:26">
      <c r="A299" s="129"/>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ht="12.75" customHeight="1" spans="1:26">
      <c r="A300" s="129"/>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ht="12.75" customHeight="1" spans="1:26">
      <c r="A301" s="129"/>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ht="12.75" customHeight="1" spans="1:26">
      <c r="A302" s="129"/>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ht="12.75" customHeight="1" spans="1:26">
      <c r="A303" s="129"/>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ht="12.75" customHeight="1" spans="1:26">
      <c r="A304" s="129"/>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ht="12.75" customHeight="1" spans="1:26">
      <c r="A305" s="129"/>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ht="12.75" customHeight="1" spans="1:26">
      <c r="A306" s="129"/>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ht="12.75" customHeight="1" spans="1:26">
      <c r="A307" s="129"/>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ht="12.75" customHeight="1" spans="1:26">
      <c r="A308" s="129"/>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ht="12.75" customHeight="1" spans="1:26">
      <c r="A309" s="129"/>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ht="12.75" customHeight="1" spans="1:26">
      <c r="A310" s="129"/>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ht="12.75" customHeight="1" spans="1:26">
      <c r="A311" s="129"/>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ht="12.75" customHeight="1" spans="1:26">
      <c r="A312" s="129"/>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ht="12.75" customHeight="1" spans="1:26">
      <c r="A313" s="129"/>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ht="12.75" customHeight="1" spans="1:26">
      <c r="A314" s="129"/>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ht="12.75" customHeight="1" spans="1:26">
      <c r="A315" s="129"/>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ht="12.75" customHeight="1" spans="1:26">
      <c r="A316" s="129"/>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ht="12.75" customHeight="1" spans="1:26">
      <c r="A317" s="129"/>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ht="12.75" customHeight="1" spans="1:26">
      <c r="A318" s="129"/>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ht="12.75" customHeight="1" spans="1:26">
      <c r="A319" s="129"/>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ht="12.75" customHeight="1" spans="1:26">
      <c r="A320" s="129"/>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ht="12.75" customHeight="1" spans="1:26">
      <c r="A321" s="129"/>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ht="12.75" customHeight="1" spans="1:26">
      <c r="A322" s="129"/>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ht="12.75" customHeight="1" spans="1:26">
      <c r="A323" s="129"/>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ht="12.75" customHeight="1" spans="1:26">
      <c r="A324" s="129"/>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ht="12.75" customHeight="1" spans="1:26">
      <c r="A325" s="129"/>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ht="12.75" customHeight="1" spans="1:26">
      <c r="A326" s="129"/>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ht="12.75" customHeight="1" spans="1:26">
      <c r="A327" s="129"/>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ht="12.75" customHeight="1" spans="1:26">
      <c r="A328" s="129"/>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ht="12.75" customHeight="1" spans="1:26">
      <c r="A329" s="129"/>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ht="12.75" customHeight="1" spans="1:26">
      <c r="A330" s="129"/>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ht="12.75" customHeight="1" spans="1:26">
      <c r="A331" s="129"/>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ht="12.75" customHeight="1" spans="1:26">
      <c r="A332" s="129"/>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ht="12.75" customHeight="1" spans="1:26">
      <c r="A333" s="129"/>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ht="12.75" customHeight="1" spans="1:26">
      <c r="A334" s="129"/>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ht="12.75" customHeight="1" spans="1:26">
      <c r="A335" s="129"/>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ht="12.75" customHeight="1" spans="1:26">
      <c r="A336" s="129"/>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ht="12.75" customHeight="1" spans="1:26">
      <c r="A337" s="129"/>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ht="12.75" customHeight="1" spans="1:26">
      <c r="A338" s="129"/>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ht="12.75" customHeight="1" spans="1:26">
      <c r="A339" s="129"/>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ht="12.75" customHeight="1" spans="1:26">
      <c r="A340" s="129"/>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ht="12.75" customHeight="1" spans="1:26">
      <c r="A341" s="129"/>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ht="12.75" customHeight="1" spans="1:26">
      <c r="A342" s="129"/>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ht="12.75" customHeight="1" spans="1:26">
      <c r="A343" s="129"/>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ht="12.75" customHeight="1" spans="1:26">
      <c r="A344" s="129"/>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ht="12.75" customHeight="1" spans="1:26">
      <c r="A345" s="129"/>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ht="12.75" customHeight="1" spans="1:26">
      <c r="A346" s="129"/>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ht="12.75" customHeight="1" spans="1:26">
      <c r="A347" s="129"/>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ht="12.75" customHeight="1" spans="1:26">
      <c r="A348" s="129"/>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ht="12.75" customHeight="1" spans="1:26">
      <c r="A349" s="129"/>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ht="12.75" customHeight="1" spans="1:26">
      <c r="A350" s="129"/>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ht="12.75" customHeight="1" spans="1:26">
      <c r="A351" s="129"/>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ht="12.75" customHeight="1" spans="1:26">
      <c r="A352" s="129"/>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ht="12.75" customHeight="1" spans="1:26">
      <c r="A353" s="129"/>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ht="12.75" customHeight="1" spans="1:26">
      <c r="A354" s="129"/>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ht="12.75" customHeight="1" spans="1:26">
      <c r="A355" s="129"/>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ht="12.75" customHeight="1" spans="1:26">
      <c r="A356" s="129"/>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ht="12.75" customHeight="1" spans="1:26">
      <c r="A357" s="129"/>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ht="12.75" customHeight="1" spans="1:26">
      <c r="A358" s="129"/>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ht="12.75" customHeight="1" spans="1:26">
      <c r="A359" s="129"/>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ht="12.75" customHeight="1" spans="1:26">
      <c r="A360" s="129"/>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ht="12.75" customHeight="1" spans="1:26">
      <c r="A361" s="129"/>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ht="12.75" customHeight="1" spans="1:26">
      <c r="A362" s="129"/>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ht="12.75" customHeight="1" spans="1:26">
      <c r="A363" s="129"/>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ht="12.75" customHeight="1" spans="1:26">
      <c r="A364" s="129"/>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ht="12.75" customHeight="1" spans="1:26">
      <c r="A365" s="129"/>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ht="12.75" customHeight="1" spans="1:26">
      <c r="A366" s="129"/>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ht="12.75" customHeight="1" spans="1:26">
      <c r="A367" s="129"/>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ht="12.75" customHeight="1" spans="1:26">
      <c r="A368" s="129"/>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ht="12.75" customHeight="1" spans="1:26">
      <c r="A369" s="129"/>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ht="12.75" customHeight="1" spans="1:26">
      <c r="A370" s="129"/>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ht="12.75" customHeight="1" spans="1:26">
      <c r="A371" s="129"/>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ht="12.75" customHeight="1" spans="1:26">
      <c r="A372" s="129"/>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ht="12.75" customHeight="1" spans="1:26">
      <c r="A373" s="129"/>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ht="12.75" customHeight="1" spans="1:26">
      <c r="A374" s="129"/>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ht="12.75" customHeight="1" spans="1:26">
      <c r="A375" s="129"/>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ht="12.75" customHeight="1" spans="1:26">
      <c r="A376" s="129"/>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ht="12.75" customHeight="1" spans="1:26">
      <c r="A377" s="129"/>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ht="12.75" customHeight="1" spans="1:26">
      <c r="A378" s="129"/>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ht="12.75" customHeight="1" spans="1:26">
      <c r="A379" s="129"/>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ht="12.75" customHeight="1" spans="1:26">
      <c r="A380" s="129"/>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ht="12.75" customHeight="1" spans="1:26">
      <c r="A381" s="129"/>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ht="12.75" customHeight="1" spans="1:26">
      <c r="A382" s="129"/>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ht="12.75" customHeight="1" spans="1:26">
      <c r="A383" s="129"/>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ht="12.75" customHeight="1" spans="1:26">
      <c r="A384" s="129"/>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ht="12.75" customHeight="1" spans="1:26">
      <c r="A385" s="129"/>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ht="12.75" customHeight="1" spans="1:26">
      <c r="A386" s="129"/>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ht="12.75" customHeight="1" spans="1:26">
      <c r="A387" s="129"/>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ht="12.75" customHeight="1" spans="1:26">
      <c r="A388" s="129"/>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ht="12.75" customHeight="1" spans="1:26">
      <c r="A389" s="129"/>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ht="12.75" customHeight="1" spans="1:26">
      <c r="A390" s="129"/>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ht="12.75" customHeight="1" spans="1:26">
      <c r="A391" s="129"/>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ht="12.75" customHeight="1" spans="1:26">
      <c r="A392" s="129"/>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ht="12.75" customHeight="1" spans="1:26">
      <c r="A393" s="129"/>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ht="12.75" customHeight="1" spans="1:26">
      <c r="A394" s="129"/>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ht="12.75" customHeight="1" spans="1:26">
      <c r="A395" s="129"/>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ht="12.75" customHeight="1" spans="1:26">
      <c r="A396" s="129"/>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ht="12.75" customHeight="1" spans="1:26">
      <c r="A397" s="129"/>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ht="12.75" customHeight="1" spans="1:26">
      <c r="A398" s="129"/>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ht="12.75" customHeight="1" spans="1:26">
      <c r="A399" s="129"/>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ht="12.75" customHeight="1" spans="1:26">
      <c r="A400" s="129"/>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ht="12.75" customHeight="1" spans="1:26">
      <c r="A401" s="129"/>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ht="12.75" customHeight="1" spans="1:26">
      <c r="A402" s="129"/>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ht="12.75" customHeight="1" spans="1:26">
      <c r="A403" s="129"/>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ht="12.75" customHeight="1" spans="1:26">
      <c r="A404" s="129"/>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ht="12.75" customHeight="1" spans="1:26">
      <c r="A405" s="129"/>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ht="12.75" customHeight="1" spans="1:26">
      <c r="A406" s="129"/>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ht="12.75" customHeight="1" spans="1:26">
      <c r="A407" s="129"/>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ht="12.75" customHeight="1" spans="1:26">
      <c r="A408" s="129"/>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ht="12.75" customHeight="1" spans="1:26">
      <c r="A409" s="129"/>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ht="12.75" customHeight="1" spans="1:26">
      <c r="A410" s="129"/>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ht="12.75" customHeight="1" spans="1:26">
      <c r="A411" s="129"/>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ht="12.75" customHeight="1" spans="1:26">
      <c r="A412" s="129"/>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ht="12.75" customHeight="1" spans="1:26">
      <c r="A413" s="129"/>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ht="12.75" customHeight="1" spans="1:26">
      <c r="A414" s="129"/>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ht="12.75" customHeight="1" spans="1:26">
      <c r="A415" s="129"/>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ht="12.75" customHeight="1" spans="1:26">
      <c r="A416" s="129"/>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ht="12.75" customHeight="1" spans="1:26">
      <c r="A417" s="129"/>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ht="12.75" customHeight="1" spans="1:26">
      <c r="A418" s="129"/>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ht="12.75" customHeight="1" spans="1:26">
      <c r="A419" s="129"/>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ht="12.75" customHeight="1" spans="1:26">
      <c r="A420" s="129"/>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ht="12.75" customHeight="1" spans="1:26">
      <c r="A421" s="129"/>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ht="12.75" customHeight="1" spans="1:26">
      <c r="A422" s="129"/>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ht="12.75" customHeight="1" spans="1:26">
      <c r="A423" s="129"/>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ht="12.75" customHeight="1" spans="1:26">
      <c r="A424" s="129"/>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ht="12.75" customHeight="1" spans="1:26">
      <c r="A425" s="129"/>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ht="12.75" customHeight="1" spans="1:26">
      <c r="A426" s="129"/>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ht="12.75" customHeight="1" spans="1:26">
      <c r="A427" s="129"/>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ht="12.75" customHeight="1" spans="1:26">
      <c r="A428" s="129"/>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ht="12.75" customHeight="1" spans="1:26">
      <c r="A429" s="129"/>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ht="12.75" customHeight="1" spans="1:26">
      <c r="A430" s="129"/>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ht="12.75" customHeight="1" spans="1:26">
      <c r="A431" s="129"/>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ht="12.75" customHeight="1" spans="1:26">
      <c r="A432" s="129"/>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ht="12.75" customHeight="1" spans="1:26">
      <c r="A433" s="129"/>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ht="12.75" customHeight="1" spans="1:26">
      <c r="A434" s="129"/>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ht="12.75" customHeight="1" spans="1:26">
      <c r="A435" s="129"/>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ht="12.75" customHeight="1" spans="1:26">
      <c r="A436" s="129"/>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ht="12.75" customHeight="1" spans="1:26">
      <c r="A437" s="129"/>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ht="12.75" customHeight="1" spans="1:26">
      <c r="A438" s="129"/>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ht="12.75" customHeight="1" spans="1:26">
      <c r="A439" s="129"/>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ht="12.75" customHeight="1" spans="1:26">
      <c r="A440" s="129"/>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ht="12.75" customHeight="1" spans="1:26">
      <c r="A441" s="129"/>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ht="12.75" customHeight="1" spans="1:26">
      <c r="A442" s="129"/>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ht="12.75" customHeight="1" spans="1:26">
      <c r="A443" s="129"/>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ht="12.75" customHeight="1" spans="1:26">
      <c r="A444" s="129"/>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ht="12.75" customHeight="1" spans="1:26">
      <c r="A445" s="129"/>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ht="12.75" customHeight="1" spans="1:26">
      <c r="A446" s="129"/>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ht="12.75" customHeight="1" spans="1:26">
      <c r="A447" s="129"/>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ht="12.75" customHeight="1" spans="1:26">
      <c r="A448" s="129"/>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ht="12.75" customHeight="1" spans="1:26">
      <c r="A449" s="129"/>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ht="12.75" customHeight="1" spans="1:26">
      <c r="A450" s="129"/>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ht="12.75" customHeight="1" spans="1:26">
      <c r="A451" s="129"/>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ht="12.75" customHeight="1" spans="1:26">
      <c r="A452" s="129"/>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ht="12.75" customHeight="1" spans="1:26">
      <c r="A453" s="129"/>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ht="12.75" customHeight="1" spans="1:26">
      <c r="A454" s="129"/>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ht="12.75" customHeight="1" spans="1:26">
      <c r="A455" s="129"/>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ht="12.75" customHeight="1" spans="1:26">
      <c r="A456" s="129"/>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ht="12.75" customHeight="1" spans="1:26">
      <c r="A457" s="129"/>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ht="12.75" customHeight="1" spans="1:26">
      <c r="A458" s="129"/>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ht="12.75" customHeight="1" spans="1:26">
      <c r="A459" s="129"/>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ht="12.75" customHeight="1" spans="1:26">
      <c r="A460" s="129"/>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ht="12.75" customHeight="1" spans="1:26">
      <c r="A461" s="129"/>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ht="12.75" customHeight="1" spans="1:26">
      <c r="A462" s="129"/>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ht="12.75" customHeight="1" spans="1:26">
      <c r="A463" s="129"/>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ht="12.75" customHeight="1" spans="1:26">
      <c r="A464" s="129"/>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ht="12.75" customHeight="1" spans="1:26">
      <c r="A465" s="129"/>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ht="12.75" customHeight="1" spans="1:26">
      <c r="A466" s="129"/>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ht="12.75" customHeight="1" spans="1:26">
      <c r="A467" s="129"/>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ht="12.75" customHeight="1" spans="1:26">
      <c r="A468" s="129"/>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ht="12.75" customHeight="1" spans="1:26">
      <c r="A469" s="129"/>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ht="12.75" customHeight="1" spans="1:26">
      <c r="A470" s="129"/>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ht="12.75" customHeight="1" spans="1:26">
      <c r="A471" s="129"/>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ht="12.75" customHeight="1" spans="1:26">
      <c r="A472" s="129"/>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ht="12.75" customHeight="1" spans="1:26">
      <c r="A473" s="129"/>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ht="12.75" customHeight="1" spans="1:26">
      <c r="A474" s="129"/>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ht="12.75" customHeight="1" spans="1:26">
      <c r="A475" s="129"/>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ht="12.75" customHeight="1" spans="1:26">
      <c r="A476" s="129"/>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ht="12.75" customHeight="1" spans="1:26">
      <c r="A477" s="129"/>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ht="12.75" customHeight="1" spans="1:26">
      <c r="A478" s="129"/>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ht="12.75" customHeight="1" spans="1:26">
      <c r="A479" s="129"/>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ht="12.75" customHeight="1" spans="1:26">
      <c r="A480" s="129"/>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ht="12.75" customHeight="1" spans="1:26">
      <c r="A481" s="129"/>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ht="12.75" customHeight="1" spans="1:26">
      <c r="A482" s="129"/>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ht="12.75" customHeight="1" spans="1:26">
      <c r="A483" s="129"/>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ht="12.75" customHeight="1" spans="1:26">
      <c r="A484" s="129"/>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ht="12.75" customHeight="1" spans="1:26">
      <c r="A485" s="129"/>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ht="12.75" customHeight="1" spans="1:26">
      <c r="A486" s="129"/>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ht="12.75" customHeight="1" spans="1:26">
      <c r="A487" s="129"/>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ht="12.75" customHeight="1" spans="1:26">
      <c r="A488" s="129"/>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ht="12.75" customHeight="1" spans="1:26">
      <c r="A489" s="129"/>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ht="12.75" customHeight="1" spans="1:26">
      <c r="A490" s="129"/>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ht="12.75" customHeight="1" spans="1:26">
      <c r="A491" s="129"/>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ht="12.75" customHeight="1" spans="1:26">
      <c r="A492" s="129"/>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ht="12.75" customHeight="1" spans="1:26">
      <c r="A493" s="129"/>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ht="12.75" customHeight="1" spans="1:26">
      <c r="A494" s="129"/>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ht="12.75" customHeight="1" spans="1:26">
      <c r="A495" s="129"/>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ht="12.75" customHeight="1" spans="1:26">
      <c r="A496" s="129"/>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ht="12.75" customHeight="1" spans="1:26">
      <c r="A497" s="129"/>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ht="12.75" customHeight="1" spans="1:26">
      <c r="A498" s="129"/>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ht="12.75" customHeight="1" spans="1:26">
      <c r="A499" s="129"/>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ht="12.75" customHeight="1" spans="1:26">
      <c r="A500" s="129"/>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ht="12.75" customHeight="1" spans="1:26">
      <c r="A501" s="129"/>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ht="12.75" customHeight="1" spans="1:26">
      <c r="A502" s="129"/>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ht="12.75" customHeight="1" spans="1:26">
      <c r="A503" s="129"/>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ht="12.75" customHeight="1" spans="1:26">
      <c r="A504" s="129"/>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ht="12.75" customHeight="1" spans="1:26">
      <c r="A505" s="129"/>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ht="12.75" customHeight="1" spans="1:26">
      <c r="A506" s="129"/>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ht="12.75" customHeight="1" spans="1:26">
      <c r="A507" s="129"/>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ht="12.75" customHeight="1" spans="1:26">
      <c r="A508" s="129"/>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ht="12.75" customHeight="1" spans="1:26">
      <c r="A509" s="129"/>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ht="12.75" customHeight="1" spans="1:26">
      <c r="A510" s="129"/>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ht="12.75" customHeight="1" spans="1:26">
      <c r="A511" s="129"/>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ht="12.75" customHeight="1" spans="1:26">
      <c r="A512" s="129"/>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ht="12.75" customHeight="1" spans="1:26">
      <c r="A513" s="129"/>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ht="12.75" customHeight="1" spans="1:26">
      <c r="A514" s="129"/>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ht="12.75" customHeight="1" spans="1:26">
      <c r="A515" s="129"/>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ht="12.75" customHeight="1" spans="1:26">
      <c r="A516" s="129"/>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ht="12.75" customHeight="1" spans="1:26">
      <c r="A517" s="129"/>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ht="12.75" customHeight="1" spans="1:26">
      <c r="A518" s="129"/>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ht="12.75" customHeight="1" spans="1:26">
      <c r="A519" s="129"/>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ht="12.75" customHeight="1" spans="1:26">
      <c r="A520" s="129"/>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ht="12.75" customHeight="1" spans="1:26">
      <c r="A521" s="129"/>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ht="12.75" customHeight="1" spans="1:26">
      <c r="A522" s="129"/>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ht="12.75" customHeight="1" spans="1:26">
      <c r="A523" s="129"/>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ht="12.75" customHeight="1" spans="1:26">
      <c r="A524" s="129"/>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ht="12.75" customHeight="1" spans="1:26">
      <c r="A525" s="129"/>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ht="12.75" customHeight="1" spans="1:26">
      <c r="A526" s="129"/>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ht="12.75" customHeight="1" spans="1:26">
      <c r="A527" s="129"/>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ht="12.75" customHeight="1" spans="1:26">
      <c r="A528" s="129"/>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ht="12.75" customHeight="1" spans="1:26">
      <c r="A529" s="129"/>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ht="12.75" customHeight="1" spans="1:26">
      <c r="A530" s="129"/>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ht="12.75" customHeight="1" spans="1:26">
      <c r="A531" s="129"/>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ht="12.75" customHeight="1" spans="1:26">
      <c r="A532" s="129"/>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ht="12.75" customHeight="1" spans="1:26">
      <c r="A533" s="129"/>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ht="12.75" customHeight="1" spans="1:26">
      <c r="A534" s="129"/>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ht="12.75" customHeight="1" spans="1:26">
      <c r="A535" s="129"/>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ht="12.75" customHeight="1" spans="1:26">
      <c r="A536" s="129"/>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ht="12.75" customHeight="1" spans="1:26">
      <c r="A537" s="129"/>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ht="12.75" customHeight="1" spans="1:26">
      <c r="A538" s="129"/>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ht="12.75" customHeight="1" spans="1:26">
      <c r="A539" s="129"/>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ht="12.75" customHeight="1" spans="1:26">
      <c r="A540" s="129"/>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ht="12.75" customHeight="1" spans="1:26">
      <c r="A541" s="129"/>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ht="12.75" customHeight="1" spans="1:26">
      <c r="A542" s="129"/>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ht="12.75" customHeight="1" spans="1:26">
      <c r="A543" s="129"/>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ht="12.75" customHeight="1" spans="1:26">
      <c r="A544" s="129"/>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ht="12.75" customHeight="1" spans="1:26">
      <c r="A545" s="129"/>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ht="12.75" customHeight="1" spans="1:26">
      <c r="A546" s="129"/>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ht="12.75" customHeight="1" spans="1:26">
      <c r="A547" s="129"/>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ht="12.75" customHeight="1" spans="1:26">
      <c r="A548" s="129"/>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ht="12.75" customHeight="1" spans="1:26">
      <c r="A549" s="129"/>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ht="12.75" customHeight="1" spans="1:26">
      <c r="A550" s="129"/>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ht="12.75" customHeight="1" spans="1:26">
      <c r="A551" s="129"/>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ht="12.75" customHeight="1" spans="1:26">
      <c r="A552" s="129"/>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ht="12.75" customHeight="1" spans="1:26">
      <c r="A553" s="129"/>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ht="12.75" customHeight="1" spans="1:26">
      <c r="A554" s="129"/>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ht="12.75" customHeight="1" spans="1:26">
      <c r="A555" s="129"/>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ht="12.75" customHeight="1" spans="1:26">
      <c r="A556" s="129"/>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ht="12.75" customHeight="1" spans="1:26">
      <c r="A557" s="129"/>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ht="12.75" customHeight="1" spans="1:26">
      <c r="A558" s="129"/>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ht="12.75" customHeight="1" spans="1:26">
      <c r="A559" s="129"/>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ht="12.75" customHeight="1" spans="1:26">
      <c r="A560" s="129"/>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ht="12.75" customHeight="1" spans="1:26">
      <c r="A561" s="129"/>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ht="12.75" customHeight="1" spans="1:26">
      <c r="A562" s="129"/>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ht="12.75" customHeight="1" spans="1:26">
      <c r="A563" s="129"/>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ht="12.75" customHeight="1" spans="1:26">
      <c r="A564" s="129"/>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ht="12.75" customHeight="1" spans="1:26">
      <c r="A565" s="129"/>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ht="12.75" customHeight="1" spans="1:26">
      <c r="A566" s="129"/>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ht="12.75" customHeight="1" spans="1:26">
      <c r="A567" s="129"/>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ht="12.75" customHeight="1" spans="1:26">
      <c r="A568" s="129"/>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ht="12.75" customHeight="1" spans="1:26">
      <c r="A569" s="129"/>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ht="12.75" customHeight="1" spans="1:26">
      <c r="A570" s="129"/>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ht="12.75" customHeight="1" spans="1:26">
      <c r="A571" s="129"/>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ht="12.75" customHeight="1" spans="1:26">
      <c r="A572" s="129"/>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ht="12.75" customHeight="1" spans="1:26">
      <c r="A573" s="129"/>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ht="12.75" customHeight="1" spans="1:26">
      <c r="A574" s="129"/>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ht="12.75" customHeight="1" spans="1:26">
      <c r="A575" s="129"/>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ht="12.75" customHeight="1" spans="1:26">
      <c r="A576" s="129"/>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ht="12.75" customHeight="1" spans="1:26">
      <c r="A577" s="129"/>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ht="12.75" customHeight="1" spans="1:26">
      <c r="A578" s="129"/>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ht="12.75" customHeight="1" spans="1:26">
      <c r="A579" s="129"/>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ht="12.75" customHeight="1" spans="1:26">
      <c r="A580" s="129"/>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ht="12.75" customHeight="1" spans="1:26">
      <c r="A581" s="129"/>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ht="12.75" customHeight="1" spans="1:26">
      <c r="A582" s="129"/>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ht="12.75" customHeight="1" spans="1:26">
      <c r="A583" s="129"/>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ht="12.75" customHeight="1" spans="1:26">
      <c r="A584" s="129"/>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ht="12.75" customHeight="1" spans="1:26">
      <c r="A585" s="129"/>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ht="12.75" customHeight="1" spans="1:26">
      <c r="A586" s="129"/>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ht="12.75" customHeight="1" spans="1:26">
      <c r="A587" s="129"/>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ht="12.75" customHeight="1" spans="1:26">
      <c r="A588" s="129"/>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ht="12.75" customHeight="1" spans="1:26">
      <c r="A589" s="129"/>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ht="12.75" customHeight="1" spans="1:26">
      <c r="A590" s="129"/>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ht="12.75" customHeight="1" spans="1:26">
      <c r="A591" s="129"/>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ht="12.75" customHeight="1" spans="1:26">
      <c r="A592" s="129"/>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ht="12.75" customHeight="1" spans="1:26">
      <c r="A593" s="129"/>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ht="12.75" customHeight="1" spans="1:26">
      <c r="A594" s="129"/>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ht="12.75" customHeight="1" spans="1:26">
      <c r="A595" s="129"/>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ht="12.75" customHeight="1" spans="1:26">
      <c r="A596" s="129"/>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ht="12.75" customHeight="1" spans="1:26">
      <c r="A597" s="129"/>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ht="12.75" customHeight="1" spans="1:26">
      <c r="A598" s="129"/>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ht="12.75" customHeight="1" spans="1:26">
      <c r="A599" s="129"/>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ht="12.75" customHeight="1" spans="1:26">
      <c r="A600" s="129"/>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ht="12.75" customHeight="1" spans="1:26">
      <c r="A601" s="129"/>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ht="12.75" customHeight="1" spans="1:26">
      <c r="A602" s="129"/>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ht="12.75" customHeight="1" spans="1:26">
      <c r="A603" s="129"/>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ht="12.75" customHeight="1" spans="1:26">
      <c r="A604" s="129"/>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ht="12.75" customHeight="1" spans="1:26">
      <c r="A605" s="129"/>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ht="12.75" customHeight="1" spans="1:26">
      <c r="A606" s="129"/>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ht="12.75" customHeight="1" spans="1:26">
      <c r="A607" s="129"/>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ht="12.75" customHeight="1" spans="1:26">
      <c r="A608" s="129"/>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ht="12.75" customHeight="1" spans="1:26">
      <c r="A609" s="129"/>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ht="12.75" customHeight="1" spans="1:26">
      <c r="A610" s="129"/>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ht="12.75" customHeight="1" spans="1:26">
      <c r="A611" s="129"/>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ht="12.75" customHeight="1" spans="1:26">
      <c r="A612" s="129"/>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ht="12.75" customHeight="1" spans="1:26">
      <c r="A613" s="129"/>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ht="12.75" customHeight="1" spans="1:26">
      <c r="A614" s="129"/>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ht="12.75" customHeight="1" spans="1:26">
      <c r="A615" s="129"/>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ht="12.75" customHeight="1" spans="1:26">
      <c r="A616" s="129"/>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ht="12.75" customHeight="1" spans="1:26">
      <c r="A617" s="129"/>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ht="12.75" customHeight="1" spans="1:26">
      <c r="A618" s="129"/>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ht="12.75" customHeight="1" spans="1:26">
      <c r="A619" s="129"/>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ht="12.75" customHeight="1" spans="1:26">
      <c r="A620" s="129"/>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ht="12.75" customHeight="1" spans="1:26">
      <c r="A621" s="129"/>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ht="12.75" customHeight="1" spans="1:26">
      <c r="A622" s="129"/>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ht="12.75" customHeight="1" spans="1:26">
      <c r="A623" s="129"/>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ht="12.75" customHeight="1" spans="1:26">
      <c r="A624" s="129"/>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ht="12.75" customHeight="1" spans="1:26">
      <c r="A625" s="129"/>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ht="12.75" customHeight="1" spans="1:26">
      <c r="A626" s="129"/>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ht="12.75" customHeight="1" spans="1:26">
      <c r="A627" s="129"/>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ht="12.75" customHeight="1" spans="1:26">
      <c r="A628" s="129"/>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ht="12.75" customHeight="1" spans="1:26">
      <c r="A629" s="129"/>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ht="12.75" customHeight="1" spans="1:26">
      <c r="A630" s="129"/>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ht="12.75" customHeight="1" spans="1:26">
      <c r="A631" s="129"/>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ht="12.75" customHeight="1" spans="1:26">
      <c r="A632" s="129"/>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ht="12.75" customHeight="1" spans="1:26">
      <c r="A633" s="129"/>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ht="12.75" customHeight="1" spans="1:26">
      <c r="A634" s="129"/>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ht="12.75" customHeight="1" spans="1:26">
      <c r="A635" s="129"/>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ht="12.75" customHeight="1" spans="1:26">
      <c r="A636" s="129"/>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ht="12.75" customHeight="1" spans="1:26">
      <c r="A637" s="129"/>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ht="12.75" customHeight="1" spans="1:26">
      <c r="A638" s="129"/>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ht="12.75" customHeight="1" spans="1:26">
      <c r="A639" s="129"/>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ht="12.75" customHeight="1" spans="1:26">
      <c r="A640" s="129"/>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ht="12.75" customHeight="1" spans="1:26">
      <c r="A641" s="129"/>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ht="12.75" customHeight="1" spans="1:26">
      <c r="A642" s="129"/>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ht="12.75" customHeight="1" spans="1:26">
      <c r="A643" s="129"/>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ht="12.75" customHeight="1" spans="1:26">
      <c r="A644" s="129"/>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ht="12.75" customHeight="1" spans="1:26">
      <c r="A645" s="129"/>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ht="12.75" customHeight="1" spans="1:26">
      <c r="A646" s="129"/>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ht="12.75" customHeight="1" spans="1:26">
      <c r="A647" s="129"/>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ht="12.75" customHeight="1" spans="1:26">
      <c r="A648" s="129"/>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ht="12.75" customHeight="1" spans="1:26">
      <c r="A649" s="129"/>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ht="12.75" customHeight="1" spans="1:26">
      <c r="A650" s="129"/>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ht="12.75" customHeight="1" spans="1:26">
      <c r="A651" s="129"/>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ht="12.75" customHeight="1" spans="1:26">
      <c r="A652" s="129"/>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ht="12.75" customHeight="1" spans="1:26">
      <c r="A653" s="129"/>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ht="12.75" customHeight="1" spans="1:26">
      <c r="A654" s="129"/>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ht="12.75" customHeight="1" spans="1:26">
      <c r="A655" s="129"/>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ht="12.75" customHeight="1" spans="1:26">
      <c r="A656" s="129"/>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ht="12.75" customHeight="1" spans="1:26">
      <c r="A657" s="129"/>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ht="12.75" customHeight="1" spans="1:26">
      <c r="A658" s="129"/>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ht="12.75" customHeight="1" spans="1:26">
      <c r="A659" s="129"/>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ht="12.75" customHeight="1" spans="1:26">
      <c r="A660" s="129"/>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ht="12.75" customHeight="1" spans="1:26">
      <c r="A661" s="129"/>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ht="12.75" customHeight="1" spans="1:26">
      <c r="A662" s="129"/>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ht="12.75" customHeight="1" spans="1:26">
      <c r="A663" s="129"/>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ht="12.75" customHeight="1" spans="1:26">
      <c r="A664" s="129"/>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ht="12.75" customHeight="1" spans="1:26">
      <c r="A665" s="129"/>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ht="12.75" customHeight="1" spans="1:26">
      <c r="A666" s="129"/>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ht="12.75" customHeight="1" spans="1:26">
      <c r="A667" s="129"/>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ht="12.75" customHeight="1" spans="1:26">
      <c r="A668" s="129"/>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ht="12.75" customHeight="1" spans="1:26">
      <c r="A669" s="129"/>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ht="12.75" customHeight="1" spans="1:26">
      <c r="A670" s="129"/>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ht="12.75" customHeight="1" spans="1:26">
      <c r="A671" s="129"/>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ht="12.75" customHeight="1" spans="1:26">
      <c r="A672" s="129"/>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ht="12.75" customHeight="1" spans="1:26">
      <c r="A673" s="129"/>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ht="12.75" customHeight="1" spans="1:26">
      <c r="A674" s="129"/>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ht="12.75" customHeight="1" spans="1:26">
      <c r="A675" s="129"/>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ht="12.75" customHeight="1" spans="1:26">
      <c r="A676" s="129"/>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ht="12.75" customHeight="1" spans="1:26">
      <c r="A677" s="129"/>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ht="12.75" customHeight="1" spans="1:26">
      <c r="A678" s="129"/>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ht="12.75" customHeight="1" spans="1:26">
      <c r="A679" s="129"/>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ht="12.75" customHeight="1" spans="1:26">
      <c r="A680" s="129"/>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ht="12.75" customHeight="1" spans="1:26">
      <c r="A681" s="129"/>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ht="12.75" customHeight="1" spans="1:26">
      <c r="A682" s="129"/>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ht="12.75" customHeight="1" spans="1:26">
      <c r="A683" s="129"/>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ht="12.75" customHeight="1" spans="1:26">
      <c r="A684" s="129"/>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ht="12.75" customHeight="1" spans="1:26">
      <c r="A685" s="129"/>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ht="12.75" customHeight="1" spans="1:26">
      <c r="A686" s="129"/>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ht="12.75" customHeight="1" spans="1:26">
      <c r="A687" s="129"/>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ht="12.75" customHeight="1" spans="1:26">
      <c r="A688" s="129"/>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ht="12.75" customHeight="1" spans="1:26">
      <c r="A689" s="129"/>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ht="12.75" customHeight="1" spans="1:26">
      <c r="A690" s="129"/>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ht="12.75" customHeight="1" spans="1:26">
      <c r="A691" s="129"/>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ht="12.75" customHeight="1" spans="1:26">
      <c r="A692" s="129"/>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ht="12.75" customHeight="1" spans="1:26">
      <c r="A693" s="129"/>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ht="12.75" customHeight="1" spans="1:26">
      <c r="A694" s="129"/>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ht="12.75" customHeight="1" spans="1:26">
      <c r="A695" s="129"/>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ht="12.75" customHeight="1" spans="1:26">
      <c r="A696" s="129"/>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ht="12.75" customHeight="1" spans="1:26">
      <c r="A697" s="129"/>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ht="12.75" customHeight="1" spans="1:26">
      <c r="A698" s="129"/>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ht="12.75" customHeight="1" spans="1:26">
      <c r="A699" s="129"/>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ht="12.75" customHeight="1" spans="1:26">
      <c r="A700" s="129"/>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ht="12.75" customHeight="1" spans="1:26">
      <c r="A701" s="129"/>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ht="12.75" customHeight="1" spans="1:26">
      <c r="A702" s="129"/>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ht="12.75" customHeight="1" spans="1:26">
      <c r="A703" s="129"/>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ht="12.75" customHeight="1" spans="1:26">
      <c r="A704" s="129"/>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ht="12.75" customHeight="1" spans="1:26">
      <c r="A705" s="129"/>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ht="12.75" customHeight="1" spans="1:26">
      <c r="A706" s="129"/>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ht="12.75" customHeight="1" spans="1:26">
      <c r="A707" s="129"/>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ht="12.75" customHeight="1" spans="1:26">
      <c r="A708" s="129"/>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ht="12.75" customHeight="1" spans="1:26">
      <c r="A709" s="129"/>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ht="12.75" customHeight="1" spans="1:26">
      <c r="A710" s="129"/>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ht="12.75" customHeight="1" spans="1:26">
      <c r="A711" s="129"/>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ht="12.75" customHeight="1" spans="1:26">
      <c r="A712" s="129"/>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ht="12.75" customHeight="1" spans="1:26">
      <c r="A713" s="129"/>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ht="12.75" customHeight="1" spans="1:26">
      <c r="A714" s="129"/>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ht="12.75" customHeight="1" spans="1:26">
      <c r="A715" s="129"/>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ht="12.75" customHeight="1" spans="1:26">
      <c r="A716" s="129"/>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ht="12.75" customHeight="1" spans="1:26">
      <c r="A717" s="129"/>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ht="12.75" customHeight="1" spans="1:26">
      <c r="A718" s="129"/>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ht="12.75" customHeight="1" spans="1:26">
      <c r="A719" s="129"/>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ht="12.75" customHeight="1" spans="1:26">
      <c r="A720" s="129"/>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ht="12.75" customHeight="1" spans="1:26">
      <c r="A721" s="129"/>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ht="12.75" customHeight="1" spans="1:26">
      <c r="A722" s="129"/>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ht="12.75" customHeight="1" spans="1:26">
      <c r="A723" s="129"/>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ht="12.75" customHeight="1" spans="1:26">
      <c r="A724" s="129"/>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ht="12.75" customHeight="1" spans="1:26">
      <c r="A725" s="129"/>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ht="12.75" customHeight="1" spans="1:26">
      <c r="A726" s="129"/>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ht="12.75" customHeight="1" spans="1:26">
      <c r="A727" s="129"/>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ht="12.75" customHeight="1" spans="1:26">
      <c r="A728" s="129"/>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ht="12.75" customHeight="1" spans="1:26">
      <c r="A729" s="129"/>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ht="12.75" customHeight="1" spans="1:26">
      <c r="A730" s="129"/>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ht="12.75" customHeight="1" spans="1:26">
      <c r="A731" s="129"/>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ht="12.75" customHeight="1" spans="1:26">
      <c r="A732" s="129"/>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ht="12.75" customHeight="1" spans="1:26">
      <c r="A733" s="129"/>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ht="12.75" customHeight="1" spans="1:26">
      <c r="A734" s="129"/>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ht="12.75" customHeight="1" spans="1:26">
      <c r="A735" s="129"/>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ht="12.75" customHeight="1" spans="1:26">
      <c r="A736" s="129"/>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ht="12.75" customHeight="1" spans="1:26">
      <c r="A737" s="129"/>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ht="12.75" customHeight="1" spans="1:26">
      <c r="A738" s="129"/>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ht="12.75" customHeight="1" spans="1:26">
      <c r="A739" s="129"/>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ht="12.75" customHeight="1" spans="1:26">
      <c r="A740" s="129"/>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ht="12.75" customHeight="1" spans="1:26">
      <c r="A741" s="129"/>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ht="12.75" customHeight="1" spans="1:26">
      <c r="A742" s="129"/>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ht="12.75" customHeight="1" spans="1:26">
      <c r="A743" s="129"/>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ht="12.75" customHeight="1" spans="1:26">
      <c r="A744" s="129"/>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ht="12.75" customHeight="1" spans="1:26">
      <c r="A745" s="129"/>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ht="12.75" customHeight="1" spans="1:26">
      <c r="A746" s="129"/>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ht="12.75" customHeight="1" spans="1:26">
      <c r="A747" s="129"/>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ht="12.75" customHeight="1" spans="1:26">
      <c r="A748" s="129"/>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ht="12.75" customHeight="1" spans="1:26">
      <c r="A749" s="129"/>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ht="12.75" customHeight="1" spans="1:26">
      <c r="A750" s="129"/>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ht="12.75" customHeight="1" spans="1:26">
      <c r="A751" s="129"/>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ht="12.75" customHeight="1" spans="1:26">
      <c r="A752" s="129"/>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ht="12.75" customHeight="1" spans="1:26">
      <c r="A753" s="129"/>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ht="12.75" customHeight="1" spans="1:26">
      <c r="A754" s="129"/>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ht="12.75" customHeight="1" spans="1:26">
      <c r="A755" s="129"/>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ht="12.75" customHeight="1" spans="1:26">
      <c r="A756" s="129"/>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ht="12.75" customHeight="1" spans="1:26">
      <c r="A757" s="129"/>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ht="12.75" customHeight="1" spans="1:26">
      <c r="A758" s="129"/>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ht="12.75" customHeight="1" spans="1:26">
      <c r="A759" s="129"/>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ht="12.75" customHeight="1" spans="1:26">
      <c r="A760" s="129"/>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ht="12.75" customHeight="1" spans="1:26">
      <c r="A761" s="129"/>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ht="12.75" customHeight="1" spans="1:26">
      <c r="A762" s="129"/>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ht="12.75" customHeight="1" spans="1:26">
      <c r="A763" s="129"/>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ht="12.75" customHeight="1" spans="1:26">
      <c r="A764" s="129"/>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ht="12.75" customHeight="1" spans="1:26">
      <c r="A765" s="129"/>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ht="12.75" customHeight="1" spans="1:26">
      <c r="A766" s="129"/>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ht="12.75" customHeight="1" spans="1:26">
      <c r="A767" s="129"/>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ht="12.75" customHeight="1" spans="1:26">
      <c r="A768" s="129"/>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ht="12.75" customHeight="1" spans="1:26">
      <c r="A769" s="129"/>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ht="12.75" customHeight="1" spans="1:26">
      <c r="A770" s="129"/>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ht="12.75" customHeight="1" spans="1:26">
      <c r="A771" s="129"/>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ht="12.75" customHeight="1" spans="1:26">
      <c r="A772" s="129"/>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ht="12.75" customHeight="1" spans="1:26">
      <c r="A773" s="129"/>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ht="12.75" customHeight="1" spans="1:26">
      <c r="A774" s="129"/>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ht="12.75" customHeight="1" spans="1:26">
      <c r="A775" s="129"/>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ht="12.75" customHeight="1" spans="1:26">
      <c r="A776" s="129"/>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ht="12.75" customHeight="1" spans="1:26">
      <c r="A777" s="129"/>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ht="12.75" customHeight="1" spans="1:26">
      <c r="A778" s="129"/>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ht="12.75" customHeight="1" spans="1:26">
      <c r="A779" s="129"/>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ht="12.75" customHeight="1" spans="1:26">
      <c r="A780" s="129"/>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ht="12.75" customHeight="1" spans="1:26">
      <c r="A781" s="129"/>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ht="12.75" customHeight="1" spans="1:26">
      <c r="A782" s="129"/>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ht="12.75" customHeight="1" spans="1:26">
      <c r="A783" s="129"/>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ht="12.75" customHeight="1" spans="1:26">
      <c r="A784" s="129"/>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ht="12.75" customHeight="1" spans="1:26">
      <c r="A785" s="129"/>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ht="12.75" customHeight="1" spans="1:26">
      <c r="A786" s="129"/>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ht="12.75" customHeight="1" spans="1:26">
      <c r="A787" s="129"/>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ht="12.75" customHeight="1" spans="1:26">
      <c r="A788" s="129"/>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ht="12.75" customHeight="1" spans="1:26">
      <c r="A789" s="129"/>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ht="12.75" customHeight="1" spans="1:26">
      <c r="A790" s="129"/>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ht="12.75" customHeight="1" spans="1:26">
      <c r="A791" s="129"/>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ht="12.75" customHeight="1" spans="1:26">
      <c r="A792" s="129"/>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ht="12.75" customHeight="1" spans="1:26">
      <c r="A793" s="129"/>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ht="12.75" customHeight="1" spans="1:26">
      <c r="A794" s="129"/>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ht="12.75" customHeight="1" spans="1:26">
      <c r="A795" s="129"/>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ht="12.75" customHeight="1" spans="1:26">
      <c r="A796" s="129"/>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ht="12.75" customHeight="1" spans="1:26">
      <c r="A797" s="129"/>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ht="12.75" customHeight="1" spans="1:26">
      <c r="A798" s="129"/>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ht="12.75" customHeight="1" spans="1:26">
      <c r="A799" s="129"/>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ht="12.75" customHeight="1" spans="1:26">
      <c r="A800" s="129"/>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ht="12.75" customHeight="1" spans="1:26">
      <c r="A801" s="129"/>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ht="12.75" customHeight="1" spans="1:26">
      <c r="A802" s="129"/>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ht="12.75" customHeight="1" spans="1:26">
      <c r="A803" s="129"/>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ht="12.75" customHeight="1" spans="1:26">
      <c r="A804" s="129"/>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ht="12.75" customHeight="1" spans="1:26">
      <c r="A805" s="129"/>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ht="12.75" customHeight="1" spans="1:26">
      <c r="A806" s="129"/>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ht="12.75" customHeight="1" spans="1:26">
      <c r="A807" s="129"/>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ht="12.75" customHeight="1" spans="1:26">
      <c r="A808" s="129"/>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ht="12.75" customHeight="1" spans="1:26">
      <c r="A809" s="129"/>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ht="12.75" customHeight="1" spans="1:26">
      <c r="A810" s="129"/>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ht="12.75" customHeight="1" spans="1:26">
      <c r="A811" s="129"/>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ht="12.75" customHeight="1" spans="1:26">
      <c r="A812" s="129"/>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ht="12.75" customHeight="1" spans="1:26">
      <c r="A813" s="129"/>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ht="12.75" customHeight="1" spans="1:26">
      <c r="A814" s="129"/>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ht="12.75" customHeight="1" spans="1:26">
      <c r="A815" s="129"/>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ht="12.75" customHeight="1" spans="1:26">
      <c r="A816" s="129"/>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ht="12.75" customHeight="1" spans="1:26">
      <c r="A817" s="129"/>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ht="12.75" customHeight="1" spans="1:26">
      <c r="A818" s="129"/>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ht="12.75" customHeight="1" spans="1:26">
      <c r="A819" s="129"/>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ht="12.75" customHeight="1" spans="1:26">
      <c r="A820" s="129"/>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ht="12.75" customHeight="1" spans="1:26">
      <c r="A821" s="129"/>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ht="12.75" customHeight="1" spans="1:26">
      <c r="A822" s="129"/>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ht="12.75" customHeight="1" spans="1:26">
      <c r="A823" s="129"/>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ht="12.75" customHeight="1" spans="1:26">
      <c r="A824" s="129"/>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ht="12.75" customHeight="1" spans="1:26">
      <c r="A825" s="129"/>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ht="12.75" customHeight="1" spans="1:26">
      <c r="A826" s="129"/>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ht="12.75" customHeight="1" spans="1:26">
      <c r="A827" s="129"/>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ht="12.75" customHeight="1" spans="1:26">
      <c r="A828" s="129"/>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ht="12.75" customHeight="1" spans="1:26">
      <c r="A829" s="129"/>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ht="12.75" customHeight="1" spans="1:26">
      <c r="A830" s="129"/>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ht="12.75" customHeight="1" spans="1:26">
      <c r="A831" s="129"/>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ht="12.75" customHeight="1" spans="1:26">
      <c r="A832" s="129"/>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ht="12.75" customHeight="1" spans="1:26">
      <c r="A833" s="129"/>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ht="12.75" customHeight="1" spans="1:26">
      <c r="A834" s="129"/>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ht="12.75" customHeight="1" spans="1:26">
      <c r="A835" s="129"/>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ht="12.75" customHeight="1" spans="1:26">
      <c r="A836" s="129"/>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ht="12.75" customHeight="1" spans="1:26">
      <c r="A837" s="129"/>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ht="12.75" customHeight="1" spans="1:26">
      <c r="A838" s="129"/>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ht="12.75" customHeight="1" spans="1:26">
      <c r="A839" s="129"/>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ht="12.75" customHeight="1" spans="1:26">
      <c r="A840" s="129"/>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ht="12.75" customHeight="1" spans="1:26">
      <c r="A841" s="129"/>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ht="12.75" customHeight="1" spans="1:26">
      <c r="A842" s="129"/>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ht="12.75" customHeight="1" spans="1:26">
      <c r="A843" s="129"/>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ht="12.75" customHeight="1" spans="1:26">
      <c r="A844" s="129"/>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ht="12.75" customHeight="1" spans="1:26">
      <c r="A845" s="129"/>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ht="12.75" customHeight="1" spans="1:26">
      <c r="A846" s="129"/>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ht="12.75" customHeight="1" spans="1:26">
      <c r="A847" s="129"/>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ht="12.75" customHeight="1" spans="1:26">
      <c r="A848" s="129"/>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ht="12.75" customHeight="1" spans="1:26">
      <c r="A849" s="129"/>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ht="12.75" customHeight="1" spans="1:26">
      <c r="A850" s="129"/>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ht="12.75" customHeight="1" spans="1:26">
      <c r="A851" s="129"/>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ht="12.75" customHeight="1" spans="1:26">
      <c r="A852" s="129"/>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ht="12.75" customHeight="1" spans="1:26">
      <c r="A853" s="129"/>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ht="12.75" customHeight="1" spans="1:26">
      <c r="A854" s="129"/>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ht="12.75" customHeight="1" spans="1:26">
      <c r="A855" s="129"/>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ht="12.75" customHeight="1" spans="1:26">
      <c r="A856" s="129"/>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ht="12.75" customHeight="1" spans="1:26">
      <c r="A857" s="129"/>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ht="12.75" customHeight="1" spans="1:26">
      <c r="A858" s="129"/>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ht="12.75" customHeight="1" spans="1:26">
      <c r="A859" s="129"/>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ht="12.75" customHeight="1" spans="1:26">
      <c r="A860" s="129"/>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ht="12.75" customHeight="1" spans="1:26">
      <c r="A861" s="129"/>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ht="12.75" customHeight="1" spans="1:26">
      <c r="A862" s="129"/>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ht="12.75" customHeight="1" spans="1:26">
      <c r="A863" s="129"/>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ht="12.75" customHeight="1" spans="1:26">
      <c r="A864" s="129"/>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ht="12.75" customHeight="1" spans="1:26">
      <c r="A865" s="129"/>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ht="12.75" customHeight="1" spans="1:26">
      <c r="A866" s="129"/>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ht="12.75" customHeight="1" spans="1:26">
      <c r="A867" s="129"/>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ht="12.75" customHeight="1" spans="1:26">
      <c r="A868" s="129"/>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ht="12.75" customHeight="1" spans="1:26">
      <c r="A869" s="129"/>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ht="12.75" customHeight="1" spans="1:26">
      <c r="A870" s="129"/>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ht="12.75" customHeight="1" spans="1:26">
      <c r="A871" s="129"/>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ht="12.75" customHeight="1" spans="1:26">
      <c r="A872" s="129"/>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ht="12.75" customHeight="1" spans="1:26">
      <c r="A873" s="129"/>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ht="12.75" customHeight="1" spans="1:26">
      <c r="A874" s="129"/>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ht="12.75" customHeight="1" spans="1:26">
      <c r="A875" s="129"/>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ht="12.75" customHeight="1" spans="1:26">
      <c r="A876" s="129"/>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ht="12.75" customHeight="1" spans="1:26">
      <c r="A877" s="129"/>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ht="12.75" customHeight="1" spans="1:26">
      <c r="A878" s="129"/>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ht="12.75" customHeight="1" spans="1:26">
      <c r="A879" s="129"/>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ht="12.75" customHeight="1" spans="1:26">
      <c r="A880" s="129"/>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ht="12.75" customHeight="1" spans="1:26">
      <c r="A881" s="129"/>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ht="12.75" customHeight="1" spans="1:26">
      <c r="A882" s="129"/>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ht="12.75" customHeight="1" spans="1:26">
      <c r="A883" s="129"/>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ht="12.75" customHeight="1" spans="1:26">
      <c r="A884" s="129"/>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ht="12.75" customHeight="1" spans="1:26">
      <c r="A885" s="129"/>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ht="12.75" customHeight="1" spans="1:26">
      <c r="A886" s="129"/>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ht="12.75" customHeight="1" spans="1:26">
      <c r="A887" s="129"/>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ht="12.75" customHeight="1" spans="1:26">
      <c r="A888" s="129"/>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ht="12.75" customHeight="1" spans="1:26">
      <c r="A889" s="129"/>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ht="12.75" customHeight="1" spans="1:26">
      <c r="A890" s="129"/>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ht="12.75" customHeight="1" spans="1:26">
      <c r="A891" s="129"/>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ht="12.75" customHeight="1" spans="1:26">
      <c r="A892" s="129"/>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ht="12.75" customHeight="1" spans="1:26">
      <c r="A893" s="129"/>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ht="12.75" customHeight="1" spans="1:26">
      <c r="A894" s="129"/>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ht="12.75" customHeight="1" spans="1:26">
      <c r="A895" s="129"/>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ht="12.75" customHeight="1" spans="1:26">
      <c r="A896" s="129"/>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ht="12.75" customHeight="1" spans="1:26">
      <c r="A897" s="129"/>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ht="12.75" customHeight="1" spans="1:26">
      <c r="A898" s="129"/>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ht="12.75" customHeight="1" spans="1:26">
      <c r="A899" s="129"/>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ht="12.75" customHeight="1" spans="1:26">
      <c r="A900" s="129"/>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ht="12.75" customHeight="1" spans="1:26">
      <c r="A901" s="129"/>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ht="12.75" customHeight="1" spans="1:26">
      <c r="A902" s="129"/>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ht="12.75" customHeight="1" spans="1:26">
      <c r="A903" s="129"/>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ht="12.75" customHeight="1" spans="1:26">
      <c r="A904" s="129"/>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ht="12.75" customHeight="1" spans="1:26">
      <c r="A905" s="129"/>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ht="12.75" customHeight="1" spans="1:26">
      <c r="A906" s="129"/>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ht="12.75" customHeight="1" spans="1:26">
      <c r="A907" s="129"/>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ht="12.75" customHeight="1" spans="1:26">
      <c r="A908" s="129"/>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ht="12.75" customHeight="1" spans="1:26">
      <c r="A909" s="129"/>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ht="12.75" customHeight="1" spans="1:26">
      <c r="A910" s="129"/>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ht="12.75" customHeight="1" spans="1:26">
      <c r="A911" s="129"/>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ht="12.75" customHeight="1" spans="1:26">
      <c r="A912" s="129"/>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ht="12.75" customHeight="1" spans="1:26">
      <c r="A913" s="129"/>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ht="12.75" customHeight="1" spans="1:26">
      <c r="A914" s="129"/>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ht="12.75" customHeight="1" spans="1:26">
      <c r="A915" s="129"/>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ht="12.75" customHeight="1" spans="1:26">
      <c r="A916" s="129"/>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ht="12.75" customHeight="1" spans="1:26">
      <c r="A917" s="129"/>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ht="12.75" customHeight="1" spans="1:26">
      <c r="A918" s="129"/>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ht="12.75" customHeight="1" spans="1:26">
      <c r="A919" s="129"/>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ht="12.75" customHeight="1" spans="1:26">
      <c r="A920" s="129"/>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ht="12.75" customHeight="1" spans="1:26">
      <c r="A921" s="129"/>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ht="12.75" customHeight="1" spans="1:26">
      <c r="A922" s="129"/>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ht="12.75" customHeight="1" spans="1:26">
      <c r="A923" s="129"/>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ht="12.75" customHeight="1" spans="1:26">
      <c r="A924" s="129"/>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ht="12.75" customHeight="1" spans="1:26">
      <c r="A925" s="129"/>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ht="12.75" customHeight="1" spans="1:26">
      <c r="A926" s="129"/>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ht="12.75" customHeight="1" spans="1:26">
      <c r="A927" s="129"/>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ht="12.75" customHeight="1" spans="1:26">
      <c r="A928" s="129"/>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ht="12.75" customHeight="1" spans="1:26">
      <c r="A929" s="129"/>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ht="12.75" customHeight="1" spans="1:26">
      <c r="A930" s="129"/>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ht="12.75" customHeight="1" spans="1:26">
      <c r="A931" s="129"/>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ht="12.75" customHeight="1" spans="1:26">
      <c r="A932" s="129"/>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ht="12.75" customHeight="1" spans="1:26">
      <c r="A933" s="129"/>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ht="12.75" customHeight="1" spans="1:26">
      <c r="A934" s="129"/>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ht="12.75" customHeight="1" spans="1:26">
      <c r="A935" s="129"/>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ht="12.75" customHeight="1" spans="1:26">
      <c r="A936" s="129"/>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ht="12.75" customHeight="1" spans="1:26">
      <c r="A937" s="129"/>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ht="12.75" customHeight="1" spans="1:26">
      <c r="A938" s="129"/>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ht="12.75" customHeight="1" spans="1:26">
      <c r="A939" s="129"/>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ht="12.75" customHeight="1" spans="1:26">
      <c r="A940" s="129"/>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ht="12.75" customHeight="1" spans="1:26">
      <c r="A941" s="129"/>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ht="12.75" customHeight="1" spans="1:26">
      <c r="A942" s="129"/>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ht="12.75" customHeight="1" spans="1:26">
      <c r="A943" s="129"/>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ht="12.75" customHeight="1" spans="1:26">
      <c r="A944" s="129"/>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ht="12.75" customHeight="1" spans="1:26">
      <c r="A945" s="129"/>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ht="12.75" customHeight="1" spans="1:26">
      <c r="A946" s="129"/>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ht="12.75" customHeight="1" spans="1:26">
      <c r="A947" s="129"/>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ht="12.75" customHeight="1" spans="1:26">
      <c r="A948" s="129"/>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ht="12.75" customHeight="1" spans="1:26">
      <c r="A949" s="129"/>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ht="12.75" customHeight="1" spans="1:26">
      <c r="A950" s="129"/>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ht="12.75" customHeight="1" spans="1:26">
      <c r="A951" s="129"/>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ht="12.75" customHeight="1" spans="1:26">
      <c r="A952" s="129"/>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ht="12.75" customHeight="1" spans="1:26">
      <c r="A953" s="129"/>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ht="12.75" customHeight="1" spans="1:26">
      <c r="A954" s="129"/>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ht="12.75" customHeight="1" spans="1:26">
      <c r="A955" s="129"/>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ht="12.75" customHeight="1" spans="1:26">
      <c r="A956" s="129"/>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ht="12.75" customHeight="1" spans="1:26">
      <c r="A957" s="129"/>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ht="12.75" customHeight="1" spans="1:26">
      <c r="A958" s="129"/>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ht="12.75" customHeight="1" spans="1:26">
      <c r="A959" s="129"/>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ht="12.75" customHeight="1" spans="1:26">
      <c r="A960" s="129"/>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ht="12.75" customHeight="1" spans="1:26">
      <c r="A961" s="129"/>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ht="12.75" customHeight="1" spans="1:26">
      <c r="A962" s="129"/>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ht="12.75" customHeight="1" spans="1:26">
      <c r="A963" s="129"/>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ht="12.75" customHeight="1" spans="1:26">
      <c r="A964" s="129"/>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ht="12.75" customHeight="1" spans="1:26">
      <c r="A965" s="129"/>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ht="12.75" customHeight="1" spans="1:26">
      <c r="A966" s="129"/>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ht="12.75" customHeight="1" spans="1:26">
      <c r="A967" s="129"/>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ht="12.75" customHeight="1" spans="1:26">
      <c r="A968" s="129"/>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ht="12.75" customHeight="1" spans="1:26">
      <c r="A969" s="129"/>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ht="12.75" customHeight="1" spans="1:26">
      <c r="A970" s="129"/>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ht="12.75" customHeight="1" spans="1:26">
      <c r="A971" s="129"/>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ht="12.75" customHeight="1" spans="1:26">
      <c r="A972" s="129"/>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ht="12.75" customHeight="1" spans="1:26">
      <c r="A973" s="129"/>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ht="12.75" customHeight="1" spans="1:26">
      <c r="A974" s="129"/>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ht="12.75" customHeight="1" spans="1:26">
      <c r="A975" s="129"/>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ht="12.75" customHeight="1" spans="1:26">
      <c r="A976" s="129"/>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ht="12.75" customHeight="1" spans="1:26">
      <c r="A977" s="129"/>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ht="12.75" customHeight="1" spans="1:26">
      <c r="A978" s="129"/>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ht="12.75" customHeight="1" spans="1:26">
      <c r="A979" s="129"/>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ht="12.75" customHeight="1" spans="1:26">
      <c r="A980" s="129"/>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ht="12.75" customHeight="1" spans="1:26">
      <c r="A981" s="129"/>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ht="12.75" customHeight="1" spans="1:26">
      <c r="A982" s="129"/>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ht="12.75" customHeight="1" spans="1:26">
      <c r="A983" s="129"/>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ht="12.75" customHeight="1" spans="1:26">
      <c r="A984" s="129"/>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ht="12.75" customHeight="1" spans="1:26">
      <c r="A985" s="129"/>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ht="12.75" customHeight="1" spans="1:26">
      <c r="A986" s="129"/>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ht="12.75" customHeight="1" spans="1:26">
      <c r="A987" s="129"/>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ht="12.75" customHeight="1" spans="1:26">
      <c r="A988" s="129"/>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ht="12.75" customHeight="1" spans="1:26">
      <c r="A989" s="129"/>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ht="12.75" customHeight="1" spans="1:26">
      <c r="A990" s="129"/>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ht="12.75" customHeight="1" spans="1:26">
      <c r="A991" s="129"/>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ht="12.75" customHeight="1" spans="1:26">
      <c r="A992" s="129"/>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ht="12.75" customHeight="1" spans="1:26">
      <c r="A993" s="129"/>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ht="12.75" customHeight="1" spans="1:26">
      <c r="A994" s="129"/>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ht="12.75" customHeight="1" spans="1:26">
      <c r="A995" s="129"/>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ht="12.75" customHeight="1" spans="1:26">
      <c r="A996" s="129"/>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ht="12.75" customHeight="1" spans="1:26">
      <c r="A997" s="129"/>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ht="12.75" customHeight="1" spans="1:26">
      <c r="A998" s="129"/>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ht="12.75" customHeight="1" spans="1:26">
      <c r="A999" s="129"/>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ht="12.75" customHeight="1" spans="1:26">
      <c r="A1000" s="129"/>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mergeCells count="4">
    <mergeCell ref="B2:F2"/>
    <mergeCell ref="B4:D4"/>
    <mergeCell ref="B5:D5"/>
    <mergeCell ref="B6:D6"/>
  </mergeCells>
  <pageMargins left="0.470138888888889" right="0.470138888888889" top="0.5" bottom="0.351388888888889" header="0" footer="0"/>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296296296296" defaultRowHeight="15" customHeight="1"/>
  <cols>
    <col min="1" max="1" width="1.37962962962963" customWidth="1"/>
    <col min="2" max="2" width="11.8796296296296" customWidth="1"/>
    <col min="3" max="3" width="26.5" customWidth="1"/>
    <col min="4" max="4" width="17.1296296296296" customWidth="1"/>
    <col min="5" max="5" width="28.1296296296296" customWidth="1"/>
    <col min="6" max="6" width="30.6296296296296" customWidth="1"/>
    <col min="7" max="26" width="9" customWidth="1"/>
  </cols>
  <sheetData>
    <row r="1" ht="12.75" customHeight="1" spans="1:26">
      <c r="A1" s="1"/>
      <c r="B1" s="102"/>
      <c r="C1" s="103"/>
      <c r="D1" s="104" t="s">
        <v>18</v>
      </c>
      <c r="E1" s="105"/>
      <c r="F1" s="103"/>
      <c r="G1" s="1"/>
      <c r="H1" s="1"/>
      <c r="I1" s="1"/>
      <c r="J1" s="1"/>
      <c r="K1" s="1"/>
      <c r="L1" s="1"/>
      <c r="M1" s="1"/>
      <c r="N1" s="1"/>
      <c r="O1" s="1"/>
      <c r="P1" s="1"/>
      <c r="Q1" s="1"/>
      <c r="R1" s="1"/>
      <c r="S1" s="1"/>
      <c r="T1" s="1"/>
      <c r="U1" s="1"/>
      <c r="V1" s="1"/>
      <c r="W1" s="1"/>
      <c r="X1" s="1"/>
      <c r="Y1" s="1"/>
      <c r="Z1" s="1"/>
    </row>
    <row r="2" ht="13.5" customHeight="1" spans="1:26">
      <c r="A2" s="1"/>
      <c r="B2" s="102"/>
      <c r="C2" s="103"/>
      <c r="D2" s="106"/>
      <c r="E2" s="106"/>
      <c r="F2" s="103"/>
      <c r="G2" s="1"/>
      <c r="H2" s="1"/>
      <c r="I2" s="1"/>
      <c r="J2" s="1"/>
      <c r="K2" s="1"/>
      <c r="L2" s="1"/>
      <c r="M2" s="1"/>
      <c r="N2" s="1"/>
      <c r="O2" s="1"/>
      <c r="P2" s="1"/>
      <c r="Q2" s="1"/>
      <c r="R2" s="1"/>
      <c r="S2" s="1"/>
      <c r="T2" s="1"/>
      <c r="U2" s="1"/>
      <c r="V2" s="1"/>
      <c r="W2" s="1"/>
      <c r="X2" s="1"/>
      <c r="Y2" s="1"/>
      <c r="Z2" s="1"/>
    </row>
    <row r="3" ht="12.75" customHeight="1" spans="1:26">
      <c r="A3" s="1"/>
      <c r="B3" s="107" t="s">
        <v>1</v>
      </c>
      <c r="C3" s="11"/>
      <c r="D3" s="72" t="s">
        <v>2</v>
      </c>
      <c r="E3" s="11"/>
      <c r="F3" s="73"/>
      <c r="G3" s="1"/>
      <c r="H3" s="1"/>
      <c r="I3" s="1"/>
      <c r="J3" s="1"/>
      <c r="K3" s="1"/>
      <c r="L3" s="1"/>
      <c r="M3" s="1"/>
      <c r="N3" s="1"/>
      <c r="O3" s="1"/>
      <c r="P3" s="1"/>
      <c r="Q3" s="1"/>
      <c r="R3" s="1"/>
      <c r="S3" s="1"/>
      <c r="T3" s="1"/>
      <c r="U3" s="1"/>
      <c r="V3" s="1"/>
      <c r="W3" s="1"/>
      <c r="X3" s="1"/>
      <c r="Y3" s="1"/>
      <c r="Z3" s="1"/>
    </row>
    <row r="4" ht="12.75" customHeight="1" spans="1:26">
      <c r="A4" s="1"/>
      <c r="B4" s="107" t="s">
        <v>5</v>
      </c>
      <c r="C4" s="11"/>
      <c r="D4" s="72" t="e">
        <f>#REF!</f>
        <v>#REF!</v>
      </c>
      <c r="E4" s="11"/>
      <c r="F4" s="73"/>
      <c r="G4" s="1"/>
      <c r="H4" s="1"/>
      <c r="I4" s="1"/>
      <c r="J4" s="1"/>
      <c r="K4" s="1"/>
      <c r="L4" s="1"/>
      <c r="M4" s="1"/>
      <c r="N4" s="1"/>
      <c r="O4" s="1"/>
      <c r="P4" s="1"/>
      <c r="Q4" s="1"/>
      <c r="R4" s="1"/>
      <c r="S4" s="1"/>
      <c r="T4" s="1"/>
      <c r="U4" s="1"/>
      <c r="V4" s="1"/>
      <c r="W4" s="1"/>
      <c r="X4" s="1"/>
      <c r="Y4" s="1"/>
      <c r="Z4" s="1"/>
    </row>
    <row r="5" ht="84.75" customHeight="1" spans="1:26">
      <c r="A5" s="8"/>
      <c r="B5" s="108" t="s">
        <v>19</v>
      </c>
      <c r="C5" s="73"/>
      <c r="D5" s="109" t="s">
        <v>20</v>
      </c>
      <c r="E5" s="11"/>
      <c r="F5" s="73"/>
      <c r="G5" s="8"/>
      <c r="H5" s="8"/>
      <c r="I5" s="8"/>
      <c r="J5" s="8"/>
      <c r="K5" s="8"/>
      <c r="L5" s="8"/>
      <c r="M5" s="8"/>
      <c r="N5" s="8"/>
      <c r="O5" s="8"/>
      <c r="P5" s="8"/>
      <c r="Q5" s="8"/>
      <c r="R5" s="8"/>
      <c r="S5" s="8"/>
      <c r="T5" s="8"/>
      <c r="U5" s="8"/>
      <c r="V5" s="8"/>
      <c r="W5" s="8"/>
      <c r="X5" s="8"/>
      <c r="Y5" s="8"/>
      <c r="Z5" s="8"/>
    </row>
    <row r="6" ht="12.75" customHeight="1" spans="1:26">
      <c r="A6" s="1"/>
      <c r="B6" s="110"/>
      <c r="C6" s="1"/>
      <c r="D6" s="1"/>
      <c r="E6" s="1"/>
      <c r="F6" s="1"/>
      <c r="G6" s="1"/>
      <c r="H6" s="1"/>
      <c r="I6" s="1"/>
      <c r="J6" s="1"/>
      <c r="K6" s="1"/>
      <c r="L6" s="1"/>
      <c r="M6" s="1"/>
      <c r="N6" s="1"/>
      <c r="O6" s="1"/>
      <c r="P6" s="1"/>
      <c r="Q6" s="1"/>
      <c r="R6" s="1"/>
      <c r="S6" s="1"/>
      <c r="T6" s="1"/>
      <c r="U6" s="1"/>
      <c r="V6" s="1"/>
      <c r="W6" s="1"/>
      <c r="X6" s="1"/>
      <c r="Y6" s="1"/>
      <c r="Z6" s="1"/>
    </row>
    <row r="7" ht="12.75" customHeight="1" spans="1:26">
      <c r="A7" s="111"/>
      <c r="B7" s="112"/>
      <c r="C7" s="113"/>
      <c r="D7" s="113"/>
      <c r="E7" s="113"/>
      <c r="F7" s="113"/>
      <c r="G7" s="111"/>
      <c r="H7" s="111"/>
      <c r="I7" s="111"/>
      <c r="J7" s="111"/>
      <c r="K7" s="111"/>
      <c r="L7" s="111"/>
      <c r="M7" s="111"/>
      <c r="N7" s="111"/>
      <c r="O7" s="111"/>
      <c r="P7" s="111"/>
      <c r="Q7" s="111"/>
      <c r="R7" s="111"/>
      <c r="S7" s="111"/>
      <c r="T7" s="111"/>
      <c r="U7" s="111"/>
      <c r="V7" s="111"/>
      <c r="W7" s="111"/>
      <c r="X7" s="111"/>
      <c r="Y7" s="111"/>
      <c r="Z7" s="111"/>
    </row>
    <row r="8" ht="21" customHeight="1" spans="1:26">
      <c r="A8" s="114"/>
      <c r="B8" s="115" t="s">
        <v>21</v>
      </c>
      <c r="C8" s="116" t="s">
        <v>22</v>
      </c>
      <c r="D8" s="116" t="s">
        <v>23</v>
      </c>
      <c r="E8" s="117" t="s">
        <v>24</v>
      </c>
      <c r="F8" s="118" t="s">
        <v>25</v>
      </c>
      <c r="G8" s="114"/>
      <c r="H8" s="114"/>
      <c r="I8" s="114"/>
      <c r="J8" s="114"/>
      <c r="K8" s="114"/>
      <c r="L8" s="114"/>
      <c r="M8" s="114"/>
      <c r="N8" s="114"/>
      <c r="O8" s="114"/>
      <c r="P8" s="114"/>
      <c r="Q8" s="114"/>
      <c r="R8" s="114"/>
      <c r="S8" s="114"/>
      <c r="T8" s="114"/>
      <c r="U8" s="114"/>
      <c r="V8" s="114"/>
      <c r="W8" s="114"/>
      <c r="X8" s="114"/>
      <c r="Y8" s="114"/>
      <c r="Z8" s="114"/>
    </row>
    <row r="9" ht="12.75" customHeight="1" spans="1:26">
      <c r="A9" s="1"/>
      <c r="B9" s="119">
        <v>1</v>
      </c>
      <c r="C9" s="120" t="s">
        <v>26</v>
      </c>
      <c r="D9" s="121" t="s">
        <v>27</v>
      </c>
      <c r="E9" s="122" t="s">
        <v>28</v>
      </c>
      <c r="F9" s="123" t="s">
        <v>29</v>
      </c>
      <c r="G9" s="1"/>
      <c r="H9" s="1"/>
      <c r="I9" s="1"/>
      <c r="J9" s="1"/>
      <c r="K9" s="1"/>
      <c r="L9" s="1"/>
      <c r="M9" s="1"/>
      <c r="N9" s="1"/>
      <c r="O9" s="1"/>
      <c r="P9" s="1"/>
      <c r="Q9" s="1"/>
      <c r="R9" s="1"/>
      <c r="S9" s="1"/>
      <c r="T9" s="1"/>
      <c r="U9" s="1"/>
      <c r="V9" s="1"/>
      <c r="W9" s="1"/>
      <c r="X9" s="1"/>
      <c r="Y9" s="1"/>
      <c r="Z9" s="1"/>
    </row>
    <row r="10" ht="12.75" customHeight="1" spans="1:26">
      <c r="A10" s="1"/>
      <c r="B10" s="119">
        <v>2</v>
      </c>
      <c r="C10" s="120" t="s">
        <v>30</v>
      </c>
      <c r="D10" s="121" t="s">
        <v>31</v>
      </c>
      <c r="E10" s="122" t="s">
        <v>32</v>
      </c>
      <c r="F10" s="123" t="s">
        <v>33</v>
      </c>
      <c r="G10" s="1"/>
      <c r="H10" s="1"/>
      <c r="I10" s="1"/>
      <c r="J10" s="1"/>
      <c r="K10" s="1"/>
      <c r="L10" s="1"/>
      <c r="M10" s="1"/>
      <c r="N10" s="1"/>
      <c r="O10" s="1"/>
      <c r="P10" s="1"/>
      <c r="Q10" s="1"/>
      <c r="R10" s="1"/>
      <c r="S10" s="1"/>
      <c r="T10" s="1"/>
      <c r="U10" s="1"/>
      <c r="V10" s="1"/>
      <c r="W10" s="1"/>
      <c r="X10" s="1"/>
      <c r="Y10" s="1"/>
      <c r="Z10" s="1"/>
    </row>
    <row r="11" ht="12.75" customHeight="1" spans="1:26">
      <c r="A11" s="1"/>
      <c r="B11" s="119">
        <v>3</v>
      </c>
      <c r="C11" s="120" t="s">
        <v>34</v>
      </c>
      <c r="D11" s="121" t="s">
        <v>35</v>
      </c>
      <c r="E11" s="122" t="s">
        <v>36</v>
      </c>
      <c r="F11" s="123" t="s">
        <v>37</v>
      </c>
      <c r="G11" s="1"/>
      <c r="H11" s="1"/>
      <c r="I11" s="1"/>
      <c r="J11" s="1"/>
      <c r="K11" s="1"/>
      <c r="L11" s="1"/>
      <c r="M11" s="1"/>
      <c r="N11" s="1"/>
      <c r="O11" s="1"/>
      <c r="P11" s="1"/>
      <c r="Q11" s="1"/>
      <c r="R11" s="1"/>
      <c r="S11" s="1"/>
      <c r="T11" s="1"/>
      <c r="U11" s="1"/>
      <c r="V11" s="1"/>
      <c r="W11" s="1"/>
      <c r="X11" s="1"/>
      <c r="Y11" s="1"/>
      <c r="Z11" s="1"/>
    </row>
    <row r="12" ht="12.75" customHeight="1" spans="1:26">
      <c r="A12" s="1"/>
      <c r="B12" s="119">
        <v>4</v>
      </c>
      <c r="C12" s="120" t="s">
        <v>38</v>
      </c>
      <c r="D12" s="121" t="s">
        <v>39</v>
      </c>
      <c r="E12" s="122" t="s">
        <v>40</v>
      </c>
      <c r="F12" s="123" t="s">
        <v>41</v>
      </c>
      <c r="G12" s="1"/>
      <c r="H12" s="1"/>
      <c r="I12" s="1"/>
      <c r="J12" s="1"/>
      <c r="K12" s="1"/>
      <c r="L12" s="1"/>
      <c r="M12" s="1"/>
      <c r="N12" s="1"/>
      <c r="O12" s="1"/>
      <c r="P12" s="1"/>
      <c r="Q12" s="1"/>
      <c r="R12" s="1"/>
      <c r="S12" s="1"/>
      <c r="T12" s="1"/>
      <c r="U12" s="1"/>
      <c r="V12" s="1"/>
      <c r="W12" s="1"/>
      <c r="X12" s="1"/>
      <c r="Y12" s="1"/>
      <c r="Z12" s="1"/>
    </row>
    <row r="13" ht="12.75" customHeight="1" spans="1:26">
      <c r="A13" s="1"/>
      <c r="B13" s="119">
        <v>5</v>
      </c>
      <c r="C13" s="120" t="s">
        <v>42</v>
      </c>
      <c r="D13" s="121" t="s">
        <v>43</v>
      </c>
      <c r="E13" s="122" t="s">
        <v>44</v>
      </c>
      <c r="F13" s="123" t="s">
        <v>45</v>
      </c>
      <c r="G13" s="1"/>
      <c r="H13" s="1"/>
      <c r="I13" s="1"/>
      <c r="J13" s="1"/>
      <c r="K13" s="1"/>
      <c r="L13" s="1"/>
      <c r="M13" s="1"/>
      <c r="N13" s="1"/>
      <c r="O13" s="1"/>
      <c r="P13" s="1"/>
      <c r="Q13" s="1"/>
      <c r="R13" s="1"/>
      <c r="S13" s="1"/>
      <c r="T13" s="1"/>
      <c r="U13" s="1"/>
      <c r="V13" s="1"/>
      <c r="W13" s="1"/>
      <c r="X13" s="1"/>
      <c r="Y13" s="1"/>
      <c r="Z13" s="1"/>
    </row>
    <row r="14" ht="12.75" customHeight="1" spans="1:26">
      <c r="A14" s="1"/>
      <c r="B14" s="119"/>
      <c r="C14" s="120"/>
      <c r="D14" s="124"/>
      <c r="E14" s="124"/>
      <c r="F14" s="123"/>
      <c r="G14" s="1"/>
      <c r="H14" s="1"/>
      <c r="I14" s="1"/>
      <c r="J14" s="1"/>
      <c r="K14" s="1"/>
      <c r="L14" s="1"/>
      <c r="M14" s="1"/>
      <c r="N14" s="1"/>
      <c r="O14" s="1"/>
      <c r="P14" s="1"/>
      <c r="Q14" s="1"/>
      <c r="R14" s="1"/>
      <c r="S14" s="1"/>
      <c r="T14" s="1"/>
      <c r="U14" s="1"/>
      <c r="V14" s="1"/>
      <c r="W14" s="1"/>
      <c r="X14" s="1"/>
      <c r="Y14" s="1"/>
      <c r="Z14" s="1"/>
    </row>
    <row r="15" ht="12.75" customHeight="1" spans="1:26">
      <c r="A15" s="1"/>
      <c r="B15" s="119"/>
      <c r="C15" s="120"/>
      <c r="D15" s="124"/>
      <c r="E15" s="124"/>
      <c r="F15" s="123"/>
      <c r="G15" s="1"/>
      <c r="H15" s="1"/>
      <c r="I15" s="1"/>
      <c r="J15" s="1"/>
      <c r="K15" s="1"/>
      <c r="L15" s="1"/>
      <c r="M15" s="1"/>
      <c r="N15" s="1"/>
      <c r="O15" s="1"/>
      <c r="P15" s="1"/>
      <c r="Q15" s="1"/>
      <c r="R15" s="1"/>
      <c r="S15" s="1"/>
      <c r="T15" s="1"/>
      <c r="U15" s="1"/>
      <c r="V15" s="1"/>
      <c r="W15" s="1"/>
      <c r="X15" s="1"/>
      <c r="Y15" s="1"/>
      <c r="Z15" s="1"/>
    </row>
    <row r="16" ht="12.75" customHeight="1" spans="1:26">
      <c r="A16" s="1"/>
      <c r="B16" s="119"/>
      <c r="C16" s="120"/>
      <c r="D16" s="124"/>
      <c r="E16" s="124"/>
      <c r="F16" s="123"/>
      <c r="G16" s="1"/>
      <c r="H16" s="1"/>
      <c r="I16" s="1"/>
      <c r="J16" s="1"/>
      <c r="K16" s="1"/>
      <c r="L16" s="1"/>
      <c r="M16" s="1"/>
      <c r="N16" s="1"/>
      <c r="O16" s="1"/>
      <c r="P16" s="1"/>
      <c r="Q16" s="1"/>
      <c r="R16" s="1"/>
      <c r="S16" s="1"/>
      <c r="T16" s="1"/>
      <c r="U16" s="1"/>
      <c r="V16" s="1"/>
      <c r="W16" s="1"/>
      <c r="X16" s="1"/>
      <c r="Y16" s="1"/>
      <c r="Z16" s="1"/>
    </row>
    <row r="17" ht="12.75" customHeight="1" spans="1:26">
      <c r="A17" s="1"/>
      <c r="B17" s="119"/>
      <c r="C17" s="120"/>
      <c r="D17" s="124"/>
      <c r="E17" s="124"/>
      <c r="F17" s="123"/>
      <c r="G17" s="1"/>
      <c r="H17" s="1"/>
      <c r="I17" s="1"/>
      <c r="J17" s="1"/>
      <c r="K17" s="1"/>
      <c r="L17" s="1"/>
      <c r="M17" s="1"/>
      <c r="N17" s="1"/>
      <c r="O17" s="1"/>
      <c r="P17" s="1"/>
      <c r="Q17" s="1"/>
      <c r="R17" s="1"/>
      <c r="S17" s="1"/>
      <c r="T17" s="1"/>
      <c r="U17" s="1"/>
      <c r="V17" s="1"/>
      <c r="W17" s="1"/>
      <c r="X17" s="1"/>
      <c r="Y17" s="1"/>
      <c r="Z17" s="1"/>
    </row>
    <row r="18" ht="12.75" customHeight="1" spans="1:26">
      <c r="A18" s="1"/>
      <c r="B18" s="119"/>
      <c r="C18" s="120"/>
      <c r="D18" s="124"/>
      <c r="E18" s="124"/>
      <c r="F18" s="123"/>
      <c r="G18" s="1"/>
      <c r="H18" s="1"/>
      <c r="I18" s="1"/>
      <c r="J18" s="1"/>
      <c r="K18" s="1"/>
      <c r="L18" s="1"/>
      <c r="M18" s="1"/>
      <c r="N18" s="1"/>
      <c r="O18" s="1"/>
      <c r="P18" s="1"/>
      <c r="Q18" s="1"/>
      <c r="R18" s="1"/>
      <c r="S18" s="1"/>
      <c r="T18" s="1"/>
      <c r="U18" s="1"/>
      <c r="V18" s="1"/>
      <c r="W18" s="1"/>
      <c r="X18" s="1"/>
      <c r="Y18" s="1"/>
      <c r="Z18" s="1"/>
    </row>
    <row r="19" ht="12.75" customHeight="1" spans="1:26">
      <c r="A19" s="1"/>
      <c r="B19" s="119"/>
      <c r="C19" s="120"/>
      <c r="D19" s="124"/>
      <c r="E19" s="124"/>
      <c r="F19" s="123"/>
      <c r="G19" s="1"/>
      <c r="H19" s="1"/>
      <c r="I19" s="1"/>
      <c r="J19" s="1"/>
      <c r="K19" s="1"/>
      <c r="L19" s="1"/>
      <c r="M19" s="1"/>
      <c r="N19" s="1"/>
      <c r="O19" s="1"/>
      <c r="P19" s="1"/>
      <c r="Q19" s="1"/>
      <c r="R19" s="1"/>
      <c r="S19" s="1"/>
      <c r="T19" s="1"/>
      <c r="U19" s="1"/>
      <c r="V19" s="1"/>
      <c r="W19" s="1"/>
      <c r="X19" s="1"/>
      <c r="Y19" s="1"/>
      <c r="Z19" s="1"/>
    </row>
    <row r="20" ht="12.75" customHeight="1" spans="1:26">
      <c r="A20" s="1"/>
      <c r="B20" s="119"/>
      <c r="C20" s="120"/>
      <c r="D20" s="124"/>
      <c r="E20" s="124"/>
      <c r="F20" s="123"/>
      <c r="G20" s="1"/>
      <c r="H20" s="1"/>
      <c r="I20" s="1"/>
      <c r="J20" s="1"/>
      <c r="K20" s="1"/>
      <c r="L20" s="1"/>
      <c r="M20" s="1"/>
      <c r="N20" s="1"/>
      <c r="O20" s="1"/>
      <c r="P20" s="1"/>
      <c r="Q20" s="1"/>
      <c r="R20" s="1"/>
      <c r="S20" s="1"/>
      <c r="T20" s="1"/>
      <c r="U20" s="1"/>
      <c r="V20" s="1"/>
      <c r="W20" s="1"/>
      <c r="X20" s="1"/>
      <c r="Y20" s="1"/>
      <c r="Z20" s="1"/>
    </row>
    <row r="21" ht="12.75" customHeight="1" spans="1:26">
      <c r="A21" s="1"/>
      <c r="B21" s="125"/>
      <c r="C21" s="126"/>
      <c r="D21" s="127"/>
      <c r="E21" s="127"/>
      <c r="F21" s="128"/>
      <c r="G21" s="1"/>
      <c r="H21" s="1"/>
      <c r="I21" s="1"/>
      <c r="J21" s="1"/>
      <c r="K21" s="1"/>
      <c r="L21" s="1"/>
      <c r="M21" s="1"/>
      <c r="N21" s="1"/>
      <c r="O21" s="1"/>
      <c r="P21" s="1"/>
      <c r="Q21" s="1"/>
      <c r="R21" s="1"/>
      <c r="S21" s="1"/>
      <c r="T21" s="1"/>
      <c r="U21" s="1"/>
      <c r="V21" s="1"/>
      <c r="W21" s="1"/>
      <c r="X21" s="1"/>
      <c r="Y21" s="1"/>
      <c r="Z21" s="1"/>
    </row>
    <row r="22" ht="12.75" customHeight="1" spans="1:26">
      <c r="A22" s="1"/>
      <c r="B22" s="102"/>
      <c r="C22" s="103"/>
      <c r="D22" s="103"/>
      <c r="E22" s="103"/>
      <c r="F22" s="103"/>
      <c r="G22" s="1"/>
      <c r="H22" s="1"/>
      <c r="I22" s="1"/>
      <c r="J22" s="1"/>
      <c r="K22" s="1"/>
      <c r="L22" s="1"/>
      <c r="M22" s="1"/>
      <c r="N22" s="1"/>
      <c r="O22" s="1"/>
      <c r="P22" s="1"/>
      <c r="Q22" s="1"/>
      <c r="R22" s="1"/>
      <c r="S22" s="1"/>
      <c r="T22" s="1"/>
      <c r="U22" s="1"/>
      <c r="V22" s="1"/>
      <c r="W22" s="1"/>
      <c r="X22" s="1"/>
      <c r="Y22" s="1"/>
      <c r="Z22" s="1"/>
    </row>
    <row r="23" ht="12.75" customHeight="1" spans="1:26">
      <c r="A23" s="1"/>
      <c r="B23" s="102"/>
      <c r="C23" s="103"/>
      <c r="D23" s="103"/>
      <c r="E23" s="103"/>
      <c r="F23" s="103"/>
      <c r="G23" s="1"/>
      <c r="H23" s="1"/>
      <c r="I23" s="1"/>
      <c r="J23" s="1"/>
      <c r="K23" s="1"/>
      <c r="L23" s="1"/>
      <c r="M23" s="1"/>
      <c r="N23" s="1"/>
      <c r="O23" s="1"/>
      <c r="P23" s="1"/>
      <c r="Q23" s="1"/>
      <c r="R23" s="1"/>
      <c r="S23" s="1"/>
      <c r="T23" s="1"/>
      <c r="U23" s="1"/>
      <c r="V23" s="1"/>
      <c r="W23" s="1"/>
      <c r="X23" s="1"/>
      <c r="Y23" s="1"/>
      <c r="Z23" s="1"/>
    </row>
    <row r="24" ht="12.75" customHeight="1" spans="1:26">
      <c r="A24" s="1"/>
      <c r="B24" s="102"/>
      <c r="C24" s="103"/>
      <c r="D24" s="103"/>
      <c r="E24" s="103"/>
      <c r="F24" s="103"/>
      <c r="G24" s="1"/>
      <c r="H24" s="1"/>
      <c r="I24" s="1"/>
      <c r="J24" s="1"/>
      <c r="K24" s="1"/>
      <c r="L24" s="1"/>
      <c r="M24" s="1"/>
      <c r="N24" s="1"/>
      <c r="O24" s="1"/>
      <c r="P24" s="1"/>
      <c r="Q24" s="1"/>
      <c r="R24" s="1"/>
      <c r="S24" s="1"/>
      <c r="T24" s="1"/>
      <c r="U24" s="1"/>
      <c r="V24" s="1"/>
      <c r="W24" s="1"/>
      <c r="X24" s="1"/>
      <c r="Y24" s="1"/>
      <c r="Z24" s="1"/>
    </row>
    <row r="25" ht="12.75" customHeight="1" spans="1:26">
      <c r="A25" s="1"/>
      <c r="B25" s="102"/>
      <c r="C25" s="103"/>
      <c r="D25" s="103"/>
      <c r="E25" s="103"/>
      <c r="F25" s="103"/>
      <c r="G25" s="1"/>
      <c r="H25" s="1"/>
      <c r="I25" s="1"/>
      <c r="J25" s="1"/>
      <c r="K25" s="1"/>
      <c r="L25" s="1"/>
      <c r="M25" s="1"/>
      <c r="N25" s="1"/>
      <c r="O25" s="1"/>
      <c r="P25" s="1"/>
      <c r="Q25" s="1"/>
      <c r="R25" s="1"/>
      <c r="S25" s="1"/>
      <c r="T25" s="1"/>
      <c r="U25" s="1"/>
      <c r="V25" s="1"/>
      <c r="W25" s="1"/>
      <c r="X25" s="1"/>
      <c r="Y25" s="1"/>
      <c r="Z25" s="1"/>
    </row>
    <row r="26" ht="12.75" customHeight="1" spans="1:26">
      <c r="A26" s="1"/>
      <c r="B26" s="102"/>
      <c r="C26" s="103"/>
      <c r="D26" s="103"/>
      <c r="E26" s="103"/>
      <c r="F26" s="103"/>
      <c r="G26" s="1"/>
      <c r="H26" s="1"/>
      <c r="I26" s="1"/>
      <c r="J26" s="1"/>
      <c r="K26" s="1"/>
      <c r="L26" s="1"/>
      <c r="M26" s="1"/>
      <c r="N26" s="1"/>
      <c r="O26" s="1"/>
      <c r="P26" s="1"/>
      <c r="Q26" s="1"/>
      <c r="R26" s="1"/>
      <c r="S26" s="1"/>
      <c r="T26" s="1"/>
      <c r="U26" s="1"/>
      <c r="V26" s="1"/>
      <c r="W26" s="1"/>
      <c r="X26" s="1"/>
      <c r="Y26" s="1"/>
      <c r="Z26" s="1"/>
    </row>
    <row r="27" ht="12.75" customHeight="1" spans="1:26">
      <c r="A27" s="1"/>
      <c r="B27" s="102"/>
      <c r="C27" s="103"/>
      <c r="D27" s="103"/>
      <c r="E27" s="103"/>
      <c r="F27" s="103"/>
      <c r="G27" s="1"/>
      <c r="H27" s="1"/>
      <c r="I27" s="1"/>
      <c r="J27" s="1"/>
      <c r="K27" s="1"/>
      <c r="L27" s="1"/>
      <c r="M27" s="1"/>
      <c r="N27" s="1"/>
      <c r="O27" s="1"/>
      <c r="P27" s="1"/>
      <c r="Q27" s="1"/>
      <c r="R27" s="1"/>
      <c r="S27" s="1"/>
      <c r="T27" s="1"/>
      <c r="U27" s="1"/>
      <c r="V27" s="1"/>
      <c r="W27" s="1"/>
      <c r="X27" s="1"/>
      <c r="Y27" s="1"/>
      <c r="Z27" s="1"/>
    </row>
    <row r="28" ht="12.75" customHeight="1" spans="1:26">
      <c r="A28" s="1"/>
      <c r="B28" s="102"/>
      <c r="C28" s="103"/>
      <c r="D28" s="103"/>
      <c r="E28" s="103"/>
      <c r="F28" s="103"/>
      <c r="G28" s="1"/>
      <c r="H28" s="1"/>
      <c r="I28" s="1"/>
      <c r="J28" s="1"/>
      <c r="K28" s="1"/>
      <c r="L28" s="1"/>
      <c r="M28" s="1"/>
      <c r="N28" s="1"/>
      <c r="O28" s="1"/>
      <c r="P28" s="1"/>
      <c r="Q28" s="1"/>
      <c r="R28" s="1"/>
      <c r="S28" s="1"/>
      <c r="T28" s="1"/>
      <c r="U28" s="1"/>
      <c r="V28" s="1"/>
      <c r="W28" s="1"/>
      <c r="X28" s="1"/>
      <c r="Y28" s="1"/>
      <c r="Z28" s="1"/>
    </row>
    <row r="29" ht="12.75" customHeight="1" spans="1:26">
      <c r="A29" s="1"/>
      <c r="B29" s="102"/>
      <c r="C29" s="103"/>
      <c r="D29" s="103"/>
      <c r="E29" s="103"/>
      <c r="F29" s="103"/>
      <c r="G29" s="1"/>
      <c r="H29" s="1"/>
      <c r="I29" s="1"/>
      <c r="J29" s="1"/>
      <c r="K29" s="1"/>
      <c r="L29" s="1"/>
      <c r="M29" s="1"/>
      <c r="N29" s="1"/>
      <c r="O29" s="1"/>
      <c r="P29" s="1"/>
      <c r="Q29" s="1"/>
      <c r="R29" s="1"/>
      <c r="S29" s="1"/>
      <c r="T29" s="1"/>
      <c r="U29" s="1"/>
      <c r="V29" s="1"/>
      <c r="W29" s="1"/>
      <c r="X29" s="1"/>
      <c r="Y29" s="1"/>
      <c r="Z29" s="1"/>
    </row>
    <row r="30" ht="12.75" customHeight="1" spans="1:26">
      <c r="A30" s="1"/>
      <c r="B30" s="102"/>
      <c r="C30" s="103"/>
      <c r="D30" s="103"/>
      <c r="E30" s="103"/>
      <c r="F30" s="103"/>
      <c r="G30" s="1"/>
      <c r="H30" s="1"/>
      <c r="I30" s="1"/>
      <c r="J30" s="1"/>
      <c r="K30" s="1"/>
      <c r="L30" s="1"/>
      <c r="M30" s="1"/>
      <c r="N30" s="1"/>
      <c r="O30" s="1"/>
      <c r="P30" s="1"/>
      <c r="Q30" s="1"/>
      <c r="R30" s="1"/>
      <c r="S30" s="1"/>
      <c r="T30" s="1"/>
      <c r="U30" s="1"/>
      <c r="V30" s="1"/>
      <c r="W30" s="1"/>
      <c r="X30" s="1"/>
      <c r="Y30" s="1"/>
      <c r="Z30" s="1"/>
    </row>
    <row r="31" ht="12.75" customHeight="1" spans="1:26">
      <c r="A31" s="1"/>
      <c r="B31" s="102"/>
      <c r="C31" s="103"/>
      <c r="D31" s="103"/>
      <c r="E31" s="103"/>
      <c r="F31" s="103"/>
      <c r="G31" s="1"/>
      <c r="H31" s="1"/>
      <c r="I31" s="1"/>
      <c r="J31" s="1"/>
      <c r="K31" s="1"/>
      <c r="L31" s="1"/>
      <c r="M31" s="1"/>
      <c r="N31" s="1"/>
      <c r="O31" s="1"/>
      <c r="P31" s="1"/>
      <c r="Q31" s="1"/>
      <c r="R31" s="1"/>
      <c r="S31" s="1"/>
      <c r="T31" s="1"/>
      <c r="U31" s="1"/>
      <c r="V31" s="1"/>
      <c r="W31" s="1"/>
      <c r="X31" s="1"/>
      <c r="Y31" s="1"/>
      <c r="Z31" s="1"/>
    </row>
    <row r="32" ht="12.75" customHeight="1" spans="1:26">
      <c r="A32" s="1"/>
      <c r="B32" s="102"/>
      <c r="C32" s="103"/>
      <c r="D32" s="103"/>
      <c r="E32" s="103"/>
      <c r="F32" s="103"/>
      <c r="G32" s="1"/>
      <c r="H32" s="1"/>
      <c r="I32" s="1"/>
      <c r="J32" s="1"/>
      <c r="K32" s="1"/>
      <c r="L32" s="1"/>
      <c r="M32" s="1"/>
      <c r="N32" s="1"/>
      <c r="O32" s="1"/>
      <c r="P32" s="1"/>
      <c r="Q32" s="1"/>
      <c r="R32" s="1"/>
      <c r="S32" s="1"/>
      <c r="T32" s="1"/>
      <c r="U32" s="1"/>
      <c r="V32" s="1"/>
      <c r="W32" s="1"/>
      <c r="X32" s="1"/>
      <c r="Y32" s="1"/>
      <c r="Z32" s="1"/>
    </row>
    <row r="33" ht="12.75" customHeight="1" spans="1:26">
      <c r="A33" s="1"/>
      <c r="B33" s="102"/>
      <c r="C33" s="103"/>
      <c r="D33" s="103"/>
      <c r="E33" s="103"/>
      <c r="F33" s="103"/>
      <c r="G33" s="1"/>
      <c r="H33" s="1"/>
      <c r="I33" s="1"/>
      <c r="J33" s="1"/>
      <c r="K33" s="1"/>
      <c r="L33" s="1"/>
      <c r="M33" s="1"/>
      <c r="N33" s="1"/>
      <c r="O33" s="1"/>
      <c r="P33" s="1"/>
      <c r="Q33" s="1"/>
      <c r="R33" s="1"/>
      <c r="S33" s="1"/>
      <c r="T33" s="1"/>
      <c r="U33" s="1"/>
      <c r="V33" s="1"/>
      <c r="W33" s="1"/>
      <c r="X33" s="1"/>
      <c r="Y33" s="1"/>
      <c r="Z33" s="1"/>
    </row>
    <row r="34" ht="12.75" customHeight="1" spans="1:26">
      <c r="A34" s="1"/>
      <c r="B34" s="102"/>
      <c r="C34" s="103"/>
      <c r="D34" s="103"/>
      <c r="E34" s="103"/>
      <c r="F34" s="103"/>
      <c r="G34" s="1"/>
      <c r="H34" s="1"/>
      <c r="I34" s="1"/>
      <c r="J34" s="1"/>
      <c r="K34" s="1"/>
      <c r="L34" s="1"/>
      <c r="M34" s="1"/>
      <c r="N34" s="1"/>
      <c r="O34" s="1"/>
      <c r="P34" s="1"/>
      <c r="Q34" s="1"/>
      <c r="R34" s="1"/>
      <c r="S34" s="1"/>
      <c r="T34" s="1"/>
      <c r="U34" s="1"/>
      <c r="V34" s="1"/>
      <c r="W34" s="1"/>
      <c r="X34" s="1"/>
      <c r="Y34" s="1"/>
      <c r="Z34" s="1"/>
    </row>
    <row r="35" ht="12.75" customHeight="1" spans="1:26">
      <c r="A35" s="1"/>
      <c r="B35" s="102"/>
      <c r="C35" s="103"/>
      <c r="D35" s="103"/>
      <c r="E35" s="103"/>
      <c r="F35" s="103"/>
      <c r="G35" s="1"/>
      <c r="H35" s="1"/>
      <c r="I35" s="1"/>
      <c r="J35" s="1"/>
      <c r="K35" s="1"/>
      <c r="L35" s="1"/>
      <c r="M35" s="1"/>
      <c r="N35" s="1"/>
      <c r="O35" s="1"/>
      <c r="P35" s="1"/>
      <c r="Q35" s="1"/>
      <c r="R35" s="1"/>
      <c r="S35" s="1"/>
      <c r="T35" s="1"/>
      <c r="U35" s="1"/>
      <c r="V35" s="1"/>
      <c r="W35" s="1"/>
      <c r="X35" s="1"/>
      <c r="Y35" s="1"/>
      <c r="Z35" s="1"/>
    </row>
    <row r="36" ht="12.75" customHeight="1" spans="1:26">
      <c r="A36" s="1"/>
      <c r="B36" s="102"/>
      <c r="C36" s="103"/>
      <c r="D36" s="103"/>
      <c r="E36" s="103"/>
      <c r="F36" s="103"/>
      <c r="G36" s="1"/>
      <c r="H36" s="1"/>
      <c r="I36" s="1"/>
      <c r="J36" s="1"/>
      <c r="K36" s="1"/>
      <c r="L36" s="1"/>
      <c r="M36" s="1"/>
      <c r="N36" s="1"/>
      <c r="O36" s="1"/>
      <c r="P36" s="1"/>
      <c r="Q36" s="1"/>
      <c r="R36" s="1"/>
      <c r="S36" s="1"/>
      <c r="T36" s="1"/>
      <c r="U36" s="1"/>
      <c r="V36" s="1"/>
      <c r="W36" s="1"/>
      <c r="X36" s="1"/>
      <c r="Y36" s="1"/>
      <c r="Z36" s="1"/>
    </row>
    <row r="37" ht="12.75" customHeight="1" spans="1:26">
      <c r="A37" s="1"/>
      <c r="B37" s="102"/>
      <c r="C37" s="103"/>
      <c r="D37" s="103"/>
      <c r="E37" s="103"/>
      <c r="F37" s="103"/>
      <c r="G37" s="1"/>
      <c r="H37" s="1"/>
      <c r="I37" s="1"/>
      <c r="J37" s="1"/>
      <c r="K37" s="1"/>
      <c r="L37" s="1"/>
      <c r="M37" s="1"/>
      <c r="N37" s="1"/>
      <c r="O37" s="1"/>
      <c r="P37" s="1"/>
      <c r="Q37" s="1"/>
      <c r="R37" s="1"/>
      <c r="S37" s="1"/>
      <c r="T37" s="1"/>
      <c r="U37" s="1"/>
      <c r="V37" s="1"/>
      <c r="W37" s="1"/>
      <c r="X37" s="1"/>
      <c r="Y37" s="1"/>
      <c r="Z37" s="1"/>
    </row>
    <row r="38" ht="12.75" customHeight="1" spans="1:26">
      <c r="A38" s="1"/>
      <c r="B38" s="102"/>
      <c r="C38" s="103"/>
      <c r="D38" s="103"/>
      <c r="E38" s="103"/>
      <c r="F38" s="103"/>
      <c r="G38" s="1"/>
      <c r="H38" s="1"/>
      <c r="I38" s="1"/>
      <c r="J38" s="1"/>
      <c r="K38" s="1"/>
      <c r="L38" s="1"/>
      <c r="M38" s="1"/>
      <c r="N38" s="1"/>
      <c r="O38" s="1"/>
      <c r="P38" s="1"/>
      <c r="Q38" s="1"/>
      <c r="R38" s="1"/>
      <c r="S38" s="1"/>
      <c r="T38" s="1"/>
      <c r="U38" s="1"/>
      <c r="V38" s="1"/>
      <c r="W38" s="1"/>
      <c r="X38" s="1"/>
      <c r="Y38" s="1"/>
      <c r="Z38" s="1"/>
    </row>
    <row r="39" ht="12.75" customHeight="1" spans="1:26">
      <c r="A39" s="1"/>
      <c r="B39" s="102"/>
      <c r="C39" s="103"/>
      <c r="D39" s="103"/>
      <c r="E39" s="103"/>
      <c r="F39" s="103"/>
      <c r="G39" s="1"/>
      <c r="H39" s="1"/>
      <c r="I39" s="1"/>
      <c r="J39" s="1"/>
      <c r="K39" s="1"/>
      <c r="L39" s="1"/>
      <c r="M39" s="1"/>
      <c r="N39" s="1"/>
      <c r="O39" s="1"/>
      <c r="P39" s="1"/>
      <c r="Q39" s="1"/>
      <c r="R39" s="1"/>
      <c r="S39" s="1"/>
      <c r="T39" s="1"/>
      <c r="U39" s="1"/>
      <c r="V39" s="1"/>
      <c r="W39" s="1"/>
      <c r="X39" s="1"/>
      <c r="Y39" s="1"/>
      <c r="Z39" s="1"/>
    </row>
    <row r="40" ht="12.75" customHeight="1" spans="1:26">
      <c r="A40" s="1"/>
      <c r="B40" s="102"/>
      <c r="C40" s="103"/>
      <c r="D40" s="103"/>
      <c r="E40" s="103"/>
      <c r="F40" s="103"/>
      <c r="G40" s="1"/>
      <c r="H40" s="1"/>
      <c r="I40" s="1"/>
      <c r="J40" s="1"/>
      <c r="K40" s="1"/>
      <c r="L40" s="1"/>
      <c r="M40" s="1"/>
      <c r="N40" s="1"/>
      <c r="O40" s="1"/>
      <c r="P40" s="1"/>
      <c r="Q40" s="1"/>
      <c r="R40" s="1"/>
      <c r="S40" s="1"/>
      <c r="T40" s="1"/>
      <c r="U40" s="1"/>
      <c r="V40" s="1"/>
      <c r="W40" s="1"/>
      <c r="X40" s="1"/>
      <c r="Y40" s="1"/>
      <c r="Z40" s="1"/>
    </row>
    <row r="41" ht="12.75" customHeight="1" spans="1:26">
      <c r="A41" s="1"/>
      <c r="B41" s="102"/>
      <c r="C41" s="103"/>
      <c r="D41" s="103"/>
      <c r="E41" s="103"/>
      <c r="F41" s="103"/>
      <c r="G41" s="1"/>
      <c r="H41" s="1"/>
      <c r="I41" s="1"/>
      <c r="J41" s="1"/>
      <c r="K41" s="1"/>
      <c r="L41" s="1"/>
      <c r="M41" s="1"/>
      <c r="N41" s="1"/>
      <c r="O41" s="1"/>
      <c r="P41" s="1"/>
      <c r="Q41" s="1"/>
      <c r="R41" s="1"/>
      <c r="S41" s="1"/>
      <c r="T41" s="1"/>
      <c r="U41" s="1"/>
      <c r="V41" s="1"/>
      <c r="W41" s="1"/>
      <c r="X41" s="1"/>
      <c r="Y41" s="1"/>
      <c r="Z41" s="1"/>
    </row>
    <row r="42" ht="12.75" customHeight="1" spans="1:26">
      <c r="A42" s="1"/>
      <c r="B42" s="102"/>
      <c r="C42" s="103"/>
      <c r="D42" s="103"/>
      <c r="E42" s="103"/>
      <c r="F42" s="103"/>
      <c r="G42" s="1"/>
      <c r="H42" s="1"/>
      <c r="I42" s="1"/>
      <c r="J42" s="1"/>
      <c r="K42" s="1"/>
      <c r="L42" s="1"/>
      <c r="M42" s="1"/>
      <c r="N42" s="1"/>
      <c r="O42" s="1"/>
      <c r="P42" s="1"/>
      <c r="Q42" s="1"/>
      <c r="R42" s="1"/>
      <c r="S42" s="1"/>
      <c r="T42" s="1"/>
      <c r="U42" s="1"/>
      <c r="V42" s="1"/>
      <c r="W42" s="1"/>
      <c r="X42" s="1"/>
      <c r="Y42" s="1"/>
      <c r="Z42" s="1"/>
    </row>
    <row r="43" ht="12.75" customHeight="1" spans="1:26">
      <c r="A43" s="1"/>
      <c r="B43" s="102"/>
      <c r="C43" s="103"/>
      <c r="D43" s="103"/>
      <c r="E43" s="103"/>
      <c r="F43" s="103"/>
      <c r="G43" s="1"/>
      <c r="H43" s="1"/>
      <c r="I43" s="1"/>
      <c r="J43" s="1"/>
      <c r="K43" s="1"/>
      <c r="L43" s="1"/>
      <c r="M43" s="1"/>
      <c r="N43" s="1"/>
      <c r="O43" s="1"/>
      <c r="P43" s="1"/>
      <c r="Q43" s="1"/>
      <c r="R43" s="1"/>
      <c r="S43" s="1"/>
      <c r="T43" s="1"/>
      <c r="U43" s="1"/>
      <c r="V43" s="1"/>
      <c r="W43" s="1"/>
      <c r="X43" s="1"/>
      <c r="Y43" s="1"/>
      <c r="Z43" s="1"/>
    </row>
    <row r="44" ht="12.75" customHeight="1" spans="1:26">
      <c r="A44" s="1"/>
      <c r="B44" s="102"/>
      <c r="C44" s="103"/>
      <c r="D44" s="103"/>
      <c r="E44" s="103"/>
      <c r="F44" s="103"/>
      <c r="G44" s="1"/>
      <c r="H44" s="1"/>
      <c r="I44" s="1"/>
      <c r="J44" s="1"/>
      <c r="K44" s="1"/>
      <c r="L44" s="1"/>
      <c r="M44" s="1"/>
      <c r="N44" s="1"/>
      <c r="O44" s="1"/>
      <c r="P44" s="1"/>
      <c r="Q44" s="1"/>
      <c r="R44" s="1"/>
      <c r="S44" s="1"/>
      <c r="T44" s="1"/>
      <c r="U44" s="1"/>
      <c r="V44" s="1"/>
      <c r="W44" s="1"/>
      <c r="X44" s="1"/>
      <c r="Y44" s="1"/>
      <c r="Z44" s="1"/>
    </row>
    <row r="45" ht="12.75" customHeight="1" spans="1:26">
      <c r="A45" s="1"/>
      <c r="B45" s="102"/>
      <c r="C45" s="103"/>
      <c r="D45" s="103"/>
      <c r="E45" s="103"/>
      <c r="F45" s="103"/>
      <c r="G45" s="1"/>
      <c r="H45" s="1"/>
      <c r="I45" s="1"/>
      <c r="J45" s="1"/>
      <c r="K45" s="1"/>
      <c r="L45" s="1"/>
      <c r="M45" s="1"/>
      <c r="N45" s="1"/>
      <c r="O45" s="1"/>
      <c r="P45" s="1"/>
      <c r="Q45" s="1"/>
      <c r="R45" s="1"/>
      <c r="S45" s="1"/>
      <c r="T45" s="1"/>
      <c r="U45" s="1"/>
      <c r="V45" s="1"/>
      <c r="W45" s="1"/>
      <c r="X45" s="1"/>
      <c r="Y45" s="1"/>
      <c r="Z45" s="1"/>
    </row>
    <row r="46" ht="12.75" customHeight="1" spans="1:26">
      <c r="A46" s="1"/>
      <c r="B46" s="102"/>
      <c r="C46" s="103"/>
      <c r="D46" s="103"/>
      <c r="E46" s="103"/>
      <c r="F46" s="103"/>
      <c r="G46" s="1"/>
      <c r="H46" s="1"/>
      <c r="I46" s="1"/>
      <c r="J46" s="1"/>
      <c r="K46" s="1"/>
      <c r="L46" s="1"/>
      <c r="M46" s="1"/>
      <c r="N46" s="1"/>
      <c r="O46" s="1"/>
      <c r="P46" s="1"/>
      <c r="Q46" s="1"/>
      <c r="R46" s="1"/>
      <c r="S46" s="1"/>
      <c r="T46" s="1"/>
      <c r="U46" s="1"/>
      <c r="V46" s="1"/>
      <c r="W46" s="1"/>
      <c r="X46" s="1"/>
      <c r="Y46" s="1"/>
      <c r="Z46" s="1"/>
    </row>
    <row r="47" ht="12.75" customHeight="1" spans="1:26">
      <c r="A47" s="1"/>
      <c r="B47" s="102"/>
      <c r="C47" s="103"/>
      <c r="D47" s="103"/>
      <c r="E47" s="103"/>
      <c r="F47" s="103"/>
      <c r="G47" s="1"/>
      <c r="H47" s="1"/>
      <c r="I47" s="1"/>
      <c r="J47" s="1"/>
      <c r="K47" s="1"/>
      <c r="L47" s="1"/>
      <c r="M47" s="1"/>
      <c r="N47" s="1"/>
      <c r="O47" s="1"/>
      <c r="P47" s="1"/>
      <c r="Q47" s="1"/>
      <c r="R47" s="1"/>
      <c r="S47" s="1"/>
      <c r="T47" s="1"/>
      <c r="U47" s="1"/>
      <c r="V47" s="1"/>
      <c r="W47" s="1"/>
      <c r="X47" s="1"/>
      <c r="Y47" s="1"/>
      <c r="Z47" s="1"/>
    </row>
    <row r="48" ht="12.75" customHeight="1" spans="1:26">
      <c r="A48" s="1"/>
      <c r="B48" s="102"/>
      <c r="C48" s="103"/>
      <c r="D48" s="103"/>
      <c r="E48" s="103"/>
      <c r="F48" s="103"/>
      <c r="G48" s="1"/>
      <c r="H48" s="1"/>
      <c r="I48" s="1"/>
      <c r="J48" s="1"/>
      <c r="K48" s="1"/>
      <c r="L48" s="1"/>
      <c r="M48" s="1"/>
      <c r="N48" s="1"/>
      <c r="O48" s="1"/>
      <c r="P48" s="1"/>
      <c r="Q48" s="1"/>
      <c r="R48" s="1"/>
      <c r="S48" s="1"/>
      <c r="T48" s="1"/>
      <c r="U48" s="1"/>
      <c r="V48" s="1"/>
      <c r="W48" s="1"/>
      <c r="X48" s="1"/>
      <c r="Y48" s="1"/>
      <c r="Z48" s="1"/>
    </row>
    <row r="49" ht="12.75" customHeight="1" spans="1:26">
      <c r="A49" s="1"/>
      <c r="B49" s="102"/>
      <c r="C49" s="103"/>
      <c r="D49" s="103"/>
      <c r="E49" s="103"/>
      <c r="F49" s="103"/>
      <c r="G49" s="1"/>
      <c r="H49" s="1"/>
      <c r="I49" s="1"/>
      <c r="J49" s="1"/>
      <c r="K49" s="1"/>
      <c r="L49" s="1"/>
      <c r="M49" s="1"/>
      <c r="N49" s="1"/>
      <c r="O49" s="1"/>
      <c r="P49" s="1"/>
      <c r="Q49" s="1"/>
      <c r="R49" s="1"/>
      <c r="S49" s="1"/>
      <c r="T49" s="1"/>
      <c r="U49" s="1"/>
      <c r="V49" s="1"/>
      <c r="W49" s="1"/>
      <c r="X49" s="1"/>
      <c r="Y49" s="1"/>
      <c r="Z49" s="1"/>
    </row>
    <row r="50" ht="12.75" customHeight="1" spans="1:26">
      <c r="A50" s="1"/>
      <c r="B50" s="102"/>
      <c r="C50" s="103"/>
      <c r="D50" s="103"/>
      <c r="E50" s="103"/>
      <c r="F50" s="103"/>
      <c r="G50" s="1"/>
      <c r="H50" s="1"/>
      <c r="I50" s="1"/>
      <c r="J50" s="1"/>
      <c r="K50" s="1"/>
      <c r="L50" s="1"/>
      <c r="M50" s="1"/>
      <c r="N50" s="1"/>
      <c r="O50" s="1"/>
      <c r="P50" s="1"/>
      <c r="Q50" s="1"/>
      <c r="R50" s="1"/>
      <c r="S50" s="1"/>
      <c r="T50" s="1"/>
      <c r="U50" s="1"/>
      <c r="V50" s="1"/>
      <c r="W50" s="1"/>
      <c r="X50" s="1"/>
      <c r="Y50" s="1"/>
      <c r="Z50" s="1"/>
    </row>
    <row r="51" ht="12.75" customHeight="1" spans="1:26">
      <c r="A51" s="1"/>
      <c r="B51" s="102"/>
      <c r="C51" s="103"/>
      <c r="D51" s="103"/>
      <c r="E51" s="103"/>
      <c r="F51" s="103"/>
      <c r="G51" s="1"/>
      <c r="H51" s="1"/>
      <c r="I51" s="1"/>
      <c r="J51" s="1"/>
      <c r="K51" s="1"/>
      <c r="L51" s="1"/>
      <c r="M51" s="1"/>
      <c r="N51" s="1"/>
      <c r="O51" s="1"/>
      <c r="P51" s="1"/>
      <c r="Q51" s="1"/>
      <c r="R51" s="1"/>
      <c r="S51" s="1"/>
      <c r="T51" s="1"/>
      <c r="U51" s="1"/>
      <c r="V51" s="1"/>
      <c r="W51" s="1"/>
      <c r="X51" s="1"/>
      <c r="Y51" s="1"/>
      <c r="Z51" s="1"/>
    </row>
    <row r="52" ht="12.75" customHeight="1" spans="1:26">
      <c r="A52" s="1"/>
      <c r="B52" s="102"/>
      <c r="C52" s="103"/>
      <c r="D52" s="103"/>
      <c r="E52" s="103"/>
      <c r="F52" s="103"/>
      <c r="G52" s="1"/>
      <c r="H52" s="1"/>
      <c r="I52" s="1"/>
      <c r="J52" s="1"/>
      <c r="K52" s="1"/>
      <c r="L52" s="1"/>
      <c r="M52" s="1"/>
      <c r="N52" s="1"/>
      <c r="O52" s="1"/>
      <c r="P52" s="1"/>
      <c r="Q52" s="1"/>
      <c r="R52" s="1"/>
      <c r="S52" s="1"/>
      <c r="T52" s="1"/>
      <c r="U52" s="1"/>
      <c r="V52" s="1"/>
      <c r="W52" s="1"/>
      <c r="X52" s="1"/>
      <c r="Y52" s="1"/>
      <c r="Z52" s="1"/>
    </row>
    <row r="53" ht="12.75" customHeight="1" spans="1:26">
      <c r="A53" s="1"/>
      <c r="B53" s="102"/>
      <c r="C53" s="103"/>
      <c r="D53" s="103"/>
      <c r="E53" s="103"/>
      <c r="F53" s="103"/>
      <c r="G53" s="1"/>
      <c r="H53" s="1"/>
      <c r="I53" s="1"/>
      <c r="J53" s="1"/>
      <c r="K53" s="1"/>
      <c r="L53" s="1"/>
      <c r="M53" s="1"/>
      <c r="N53" s="1"/>
      <c r="O53" s="1"/>
      <c r="P53" s="1"/>
      <c r="Q53" s="1"/>
      <c r="R53" s="1"/>
      <c r="S53" s="1"/>
      <c r="T53" s="1"/>
      <c r="U53" s="1"/>
      <c r="V53" s="1"/>
      <c r="W53" s="1"/>
      <c r="X53" s="1"/>
      <c r="Y53" s="1"/>
      <c r="Z53" s="1"/>
    </row>
    <row r="54" ht="12.75" customHeight="1" spans="1:26">
      <c r="A54" s="1"/>
      <c r="B54" s="102"/>
      <c r="C54" s="103"/>
      <c r="D54" s="103"/>
      <c r="E54" s="103"/>
      <c r="F54" s="103"/>
      <c r="G54" s="1"/>
      <c r="H54" s="1"/>
      <c r="I54" s="1"/>
      <c r="J54" s="1"/>
      <c r="K54" s="1"/>
      <c r="L54" s="1"/>
      <c r="M54" s="1"/>
      <c r="N54" s="1"/>
      <c r="O54" s="1"/>
      <c r="P54" s="1"/>
      <c r="Q54" s="1"/>
      <c r="R54" s="1"/>
      <c r="S54" s="1"/>
      <c r="T54" s="1"/>
      <c r="U54" s="1"/>
      <c r="V54" s="1"/>
      <c r="W54" s="1"/>
      <c r="X54" s="1"/>
      <c r="Y54" s="1"/>
      <c r="Z54" s="1"/>
    </row>
    <row r="55" ht="12.75" customHeight="1" spans="1:26">
      <c r="A55" s="1"/>
      <c r="B55" s="102"/>
      <c r="C55" s="103"/>
      <c r="D55" s="103"/>
      <c r="E55" s="103"/>
      <c r="F55" s="103"/>
      <c r="G55" s="1"/>
      <c r="H55" s="1"/>
      <c r="I55" s="1"/>
      <c r="J55" s="1"/>
      <c r="K55" s="1"/>
      <c r="L55" s="1"/>
      <c r="M55" s="1"/>
      <c r="N55" s="1"/>
      <c r="O55" s="1"/>
      <c r="P55" s="1"/>
      <c r="Q55" s="1"/>
      <c r="R55" s="1"/>
      <c r="S55" s="1"/>
      <c r="T55" s="1"/>
      <c r="U55" s="1"/>
      <c r="V55" s="1"/>
      <c r="W55" s="1"/>
      <c r="X55" s="1"/>
      <c r="Y55" s="1"/>
      <c r="Z55" s="1"/>
    </row>
    <row r="56" ht="12.75" customHeight="1" spans="1:26">
      <c r="A56" s="1"/>
      <c r="B56" s="102"/>
      <c r="C56" s="103"/>
      <c r="D56" s="103"/>
      <c r="E56" s="103"/>
      <c r="F56" s="103"/>
      <c r="G56" s="1"/>
      <c r="H56" s="1"/>
      <c r="I56" s="1"/>
      <c r="J56" s="1"/>
      <c r="K56" s="1"/>
      <c r="L56" s="1"/>
      <c r="M56" s="1"/>
      <c r="N56" s="1"/>
      <c r="O56" s="1"/>
      <c r="P56" s="1"/>
      <c r="Q56" s="1"/>
      <c r="R56" s="1"/>
      <c r="S56" s="1"/>
      <c r="T56" s="1"/>
      <c r="U56" s="1"/>
      <c r="V56" s="1"/>
      <c r="W56" s="1"/>
      <c r="X56" s="1"/>
      <c r="Y56" s="1"/>
      <c r="Z56" s="1"/>
    </row>
    <row r="57" ht="12.75" customHeight="1" spans="1:26">
      <c r="A57" s="1"/>
      <c r="B57" s="102"/>
      <c r="C57" s="103"/>
      <c r="D57" s="103"/>
      <c r="E57" s="103"/>
      <c r="F57" s="103"/>
      <c r="G57" s="1"/>
      <c r="H57" s="1"/>
      <c r="I57" s="1"/>
      <c r="J57" s="1"/>
      <c r="K57" s="1"/>
      <c r="L57" s="1"/>
      <c r="M57" s="1"/>
      <c r="N57" s="1"/>
      <c r="O57" s="1"/>
      <c r="P57" s="1"/>
      <c r="Q57" s="1"/>
      <c r="R57" s="1"/>
      <c r="S57" s="1"/>
      <c r="T57" s="1"/>
      <c r="U57" s="1"/>
      <c r="V57" s="1"/>
      <c r="W57" s="1"/>
      <c r="X57" s="1"/>
      <c r="Y57" s="1"/>
      <c r="Z57" s="1"/>
    </row>
    <row r="58" ht="12.75" customHeight="1" spans="1:26">
      <c r="A58" s="1"/>
      <c r="B58" s="102"/>
      <c r="C58" s="103"/>
      <c r="D58" s="103"/>
      <c r="E58" s="103"/>
      <c r="F58" s="103"/>
      <c r="G58" s="1"/>
      <c r="H58" s="1"/>
      <c r="I58" s="1"/>
      <c r="J58" s="1"/>
      <c r="K58" s="1"/>
      <c r="L58" s="1"/>
      <c r="M58" s="1"/>
      <c r="N58" s="1"/>
      <c r="O58" s="1"/>
      <c r="P58" s="1"/>
      <c r="Q58" s="1"/>
      <c r="R58" s="1"/>
      <c r="S58" s="1"/>
      <c r="T58" s="1"/>
      <c r="U58" s="1"/>
      <c r="V58" s="1"/>
      <c r="W58" s="1"/>
      <c r="X58" s="1"/>
      <c r="Y58" s="1"/>
      <c r="Z58" s="1"/>
    </row>
    <row r="59" ht="12.75" customHeight="1" spans="1:26">
      <c r="A59" s="1"/>
      <c r="B59" s="102"/>
      <c r="C59" s="103"/>
      <c r="D59" s="103"/>
      <c r="E59" s="103"/>
      <c r="F59" s="103"/>
      <c r="G59" s="1"/>
      <c r="H59" s="1"/>
      <c r="I59" s="1"/>
      <c r="J59" s="1"/>
      <c r="K59" s="1"/>
      <c r="L59" s="1"/>
      <c r="M59" s="1"/>
      <c r="N59" s="1"/>
      <c r="O59" s="1"/>
      <c r="P59" s="1"/>
      <c r="Q59" s="1"/>
      <c r="R59" s="1"/>
      <c r="S59" s="1"/>
      <c r="T59" s="1"/>
      <c r="U59" s="1"/>
      <c r="V59" s="1"/>
      <c r="W59" s="1"/>
      <c r="X59" s="1"/>
      <c r="Y59" s="1"/>
      <c r="Z59" s="1"/>
    </row>
    <row r="60" ht="12.75" customHeight="1" spans="1:26">
      <c r="A60" s="1"/>
      <c r="B60" s="102"/>
      <c r="C60" s="103"/>
      <c r="D60" s="103"/>
      <c r="E60" s="103"/>
      <c r="F60" s="103"/>
      <c r="G60" s="1"/>
      <c r="H60" s="1"/>
      <c r="I60" s="1"/>
      <c r="J60" s="1"/>
      <c r="K60" s="1"/>
      <c r="L60" s="1"/>
      <c r="M60" s="1"/>
      <c r="N60" s="1"/>
      <c r="O60" s="1"/>
      <c r="P60" s="1"/>
      <c r="Q60" s="1"/>
      <c r="R60" s="1"/>
      <c r="S60" s="1"/>
      <c r="T60" s="1"/>
      <c r="U60" s="1"/>
      <c r="V60" s="1"/>
      <c r="W60" s="1"/>
      <c r="X60" s="1"/>
      <c r="Y60" s="1"/>
      <c r="Z60" s="1"/>
    </row>
    <row r="61" ht="12.75" customHeight="1" spans="1:26">
      <c r="A61" s="1"/>
      <c r="B61" s="102"/>
      <c r="C61" s="103"/>
      <c r="D61" s="103"/>
      <c r="E61" s="103"/>
      <c r="F61" s="103"/>
      <c r="G61" s="1"/>
      <c r="H61" s="1"/>
      <c r="I61" s="1"/>
      <c r="J61" s="1"/>
      <c r="K61" s="1"/>
      <c r="L61" s="1"/>
      <c r="M61" s="1"/>
      <c r="N61" s="1"/>
      <c r="O61" s="1"/>
      <c r="P61" s="1"/>
      <c r="Q61" s="1"/>
      <c r="R61" s="1"/>
      <c r="S61" s="1"/>
      <c r="T61" s="1"/>
      <c r="U61" s="1"/>
      <c r="V61" s="1"/>
      <c r="W61" s="1"/>
      <c r="X61" s="1"/>
      <c r="Y61" s="1"/>
      <c r="Z61" s="1"/>
    </row>
    <row r="62" ht="12.75" customHeight="1" spans="1:26">
      <c r="A62" s="1"/>
      <c r="B62" s="102"/>
      <c r="C62" s="103"/>
      <c r="D62" s="103"/>
      <c r="E62" s="103"/>
      <c r="F62" s="103"/>
      <c r="G62" s="1"/>
      <c r="H62" s="1"/>
      <c r="I62" s="1"/>
      <c r="J62" s="1"/>
      <c r="K62" s="1"/>
      <c r="L62" s="1"/>
      <c r="M62" s="1"/>
      <c r="N62" s="1"/>
      <c r="O62" s="1"/>
      <c r="P62" s="1"/>
      <c r="Q62" s="1"/>
      <c r="R62" s="1"/>
      <c r="S62" s="1"/>
      <c r="T62" s="1"/>
      <c r="U62" s="1"/>
      <c r="V62" s="1"/>
      <c r="W62" s="1"/>
      <c r="X62" s="1"/>
      <c r="Y62" s="1"/>
      <c r="Z62" s="1"/>
    </row>
    <row r="63" ht="12.75" customHeight="1" spans="1:26">
      <c r="A63" s="1"/>
      <c r="B63" s="102"/>
      <c r="C63" s="103"/>
      <c r="D63" s="103"/>
      <c r="E63" s="103"/>
      <c r="F63" s="103"/>
      <c r="G63" s="1"/>
      <c r="H63" s="1"/>
      <c r="I63" s="1"/>
      <c r="J63" s="1"/>
      <c r="K63" s="1"/>
      <c r="L63" s="1"/>
      <c r="M63" s="1"/>
      <c r="N63" s="1"/>
      <c r="O63" s="1"/>
      <c r="P63" s="1"/>
      <c r="Q63" s="1"/>
      <c r="R63" s="1"/>
      <c r="S63" s="1"/>
      <c r="T63" s="1"/>
      <c r="U63" s="1"/>
      <c r="V63" s="1"/>
      <c r="W63" s="1"/>
      <c r="X63" s="1"/>
      <c r="Y63" s="1"/>
      <c r="Z63" s="1"/>
    </row>
    <row r="64" ht="12.75" customHeight="1" spans="1:26">
      <c r="A64" s="1"/>
      <c r="B64" s="102"/>
      <c r="C64" s="103"/>
      <c r="D64" s="103"/>
      <c r="E64" s="103"/>
      <c r="F64" s="103"/>
      <c r="G64" s="1"/>
      <c r="H64" s="1"/>
      <c r="I64" s="1"/>
      <c r="J64" s="1"/>
      <c r="K64" s="1"/>
      <c r="L64" s="1"/>
      <c r="M64" s="1"/>
      <c r="N64" s="1"/>
      <c r="O64" s="1"/>
      <c r="P64" s="1"/>
      <c r="Q64" s="1"/>
      <c r="R64" s="1"/>
      <c r="S64" s="1"/>
      <c r="T64" s="1"/>
      <c r="U64" s="1"/>
      <c r="V64" s="1"/>
      <c r="W64" s="1"/>
      <c r="X64" s="1"/>
      <c r="Y64" s="1"/>
      <c r="Z64" s="1"/>
    </row>
    <row r="65" ht="12.75" customHeight="1" spans="1:26">
      <c r="A65" s="1"/>
      <c r="B65" s="102"/>
      <c r="C65" s="103"/>
      <c r="D65" s="103"/>
      <c r="E65" s="103"/>
      <c r="F65" s="103"/>
      <c r="G65" s="1"/>
      <c r="H65" s="1"/>
      <c r="I65" s="1"/>
      <c r="J65" s="1"/>
      <c r="K65" s="1"/>
      <c r="L65" s="1"/>
      <c r="M65" s="1"/>
      <c r="N65" s="1"/>
      <c r="O65" s="1"/>
      <c r="P65" s="1"/>
      <c r="Q65" s="1"/>
      <c r="R65" s="1"/>
      <c r="S65" s="1"/>
      <c r="T65" s="1"/>
      <c r="U65" s="1"/>
      <c r="V65" s="1"/>
      <c r="W65" s="1"/>
      <c r="X65" s="1"/>
      <c r="Y65" s="1"/>
      <c r="Z65" s="1"/>
    </row>
    <row r="66" ht="12.75" customHeight="1" spans="1:26">
      <c r="A66" s="1"/>
      <c r="B66" s="102"/>
      <c r="C66" s="103"/>
      <c r="D66" s="103"/>
      <c r="E66" s="103"/>
      <c r="F66" s="103"/>
      <c r="G66" s="1"/>
      <c r="H66" s="1"/>
      <c r="I66" s="1"/>
      <c r="J66" s="1"/>
      <c r="K66" s="1"/>
      <c r="L66" s="1"/>
      <c r="M66" s="1"/>
      <c r="N66" s="1"/>
      <c r="O66" s="1"/>
      <c r="P66" s="1"/>
      <c r="Q66" s="1"/>
      <c r="R66" s="1"/>
      <c r="S66" s="1"/>
      <c r="T66" s="1"/>
      <c r="U66" s="1"/>
      <c r="V66" s="1"/>
      <c r="W66" s="1"/>
      <c r="X66" s="1"/>
      <c r="Y66" s="1"/>
      <c r="Z66" s="1"/>
    </row>
    <row r="67" ht="12.75" customHeight="1" spans="1:26">
      <c r="A67" s="1"/>
      <c r="B67" s="102"/>
      <c r="C67" s="103"/>
      <c r="D67" s="103"/>
      <c r="E67" s="103"/>
      <c r="F67" s="103"/>
      <c r="G67" s="1"/>
      <c r="H67" s="1"/>
      <c r="I67" s="1"/>
      <c r="J67" s="1"/>
      <c r="K67" s="1"/>
      <c r="L67" s="1"/>
      <c r="M67" s="1"/>
      <c r="N67" s="1"/>
      <c r="O67" s="1"/>
      <c r="P67" s="1"/>
      <c r="Q67" s="1"/>
      <c r="R67" s="1"/>
      <c r="S67" s="1"/>
      <c r="T67" s="1"/>
      <c r="U67" s="1"/>
      <c r="V67" s="1"/>
      <c r="W67" s="1"/>
      <c r="X67" s="1"/>
      <c r="Y67" s="1"/>
      <c r="Z67" s="1"/>
    </row>
    <row r="68" ht="12.75" customHeight="1" spans="1:26">
      <c r="A68" s="1"/>
      <c r="B68" s="102"/>
      <c r="C68" s="103"/>
      <c r="D68" s="103"/>
      <c r="E68" s="103"/>
      <c r="F68" s="103"/>
      <c r="G68" s="1"/>
      <c r="H68" s="1"/>
      <c r="I68" s="1"/>
      <c r="J68" s="1"/>
      <c r="K68" s="1"/>
      <c r="L68" s="1"/>
      <c r="M68" s="1"/>
      <c r="N68" s="1"/>
      <c r="O68" s="1"/>
      <c r="P68" s="1"/>
      <c r="Q68" s="1"/>
      <c r="R68" s="1"/>
      <c r="S68" s="1"/>
      <c r="T68" s="1"/>
      <c r="U68" s="1"/>
      <c r="V68" s="1"/>
      <c r="W68" s="1"/>
      <c r="X68" s="1"/>
      <c r="Y68" s="1"/>
      <c r="Z68" s="1"/>
    </row>
    <row r="69" ht="12.75" customHeight="1" spans="1:26">
      <c r="A69" s="1"/>
      <c r="B69" s="102"/>
      <c r="C69" s="103"/>
      <c r="D69" s="103"/>
      <c r="E69" s="103"/>
      <c r="F69" s="103"/>
      <c r="G69" s="1"/>
      <c r="H69" s="1"/>
      <c r="I69" s="1"/>
      <c r="J69" s="1"/>
      <c r="K69" s="1"/>
      <c r="L69" s="1"/>
      <c r="M69" s="1"/>
      <c r="N69" s="1"/>
      <c r="O69" s="1"/>
      <c r="P69" s="1"/>
      <c r="Q69" s="1"/>
      <c r="R69" s="1"/>
      <c r="S69" s="1"/>
      <c r="T69" s="1"/>
      <c r="U69" s="1"/>
      <c r="V69" s="1"/>
      <c r="W69" s="1"/>
      <c r="X69" s="1"/>
      <c r="Y69" s="1"/>
      <c r="Z69" s="1"/>
    </row>
    <row r="70" ht="12.75" customHeight="1" spans="1:26">
      <c r="A70" s="1"/>
      <c r="B70" s="102"/>
      <c r="C70" s="103"/>
      <c r="D70" s="103"/>
      <c r="E70" s="103"/>
      <c r="F70" s="103"/>
      <c r="G70" s="1"/>
      <c r="H70" s="1"/>
      <c r="I70" s="1"/>
      <c r="J70" s="1"/>
      <c r="K70" s="1"/>
      <c r="L70" s="1"/>
      <c r="M70" s="1"/>
      <c r="N70" s="1"/>
      <c r="O70" s="1"/>
      <c r="P70" s="1"/>
      <c r="Q70" s="1"/>
      <c r="R70" s="1"/>
      <c r="S70" s="1"/>
      <c r="T70" s="1"/>
      <c r="U70" s="1"/>
      <c r="V70" s="1"/>
      <c r="W70" s="1"/>
      <c r="X70" s="1"/>
      <c r="Y70" s="1"/>
      <c r="Z70" s="1"/>
    </row>
    <row r="71" ht="12.75" customHeight="1" spans="1:26">
      <c r="A71" s="1"/>
      <c r="B71" s="102"/>
      <c r="C71" s="103"/>
      <c r="D71" s="103"/>
      <c r="E71" s="103"/>
      <c r="F71" s="103"/>
      <c r="G71" s="1"/>
      <c r="H71" s="1"/>
      <c r="I71" s="1"/>
      <c r="J71" s="1"/>
      <c r="K71" s="1"/>
      <c r="L71" s="1"/>
      <c r="M71" s="1"/>
      <c r="N71" s="1"/>
      <c r="O71" s="1"/>
      <c r="P71" s="1"/>
      <c r="Q71" s="1"/>
      <c r="R71" s="1"/>
      <c r="S71" s="1"/>
      <c r="T71" s="1"/>
      <c r="U71" s="1"/>
      <c r="V71" s="1"/>
      <c r="W71" s="1"/>
      <c r="X71" s="1"/>
      <c r="Y71" s="1"/>
      <c r="Z71" s="1"/>
    </row>
    <row r="72" ht="12.75" customHeight="1" spans="1:26">
      <c r="A72" s="1"/>
      <c r="B72" s="102"/>
      <c r="C72" s="103"/>
      <c r="D72" s="103"/>
      <c r="E72" s="103"/>
      <c r="F72" s="103"/>
      <c r="G72" s="1"/>
      <c r="H72" s="1"/>
      <c r="I72" s="1"/>
      <c r="J72" s="1"/>
      <c r="K72" s="1"/>
      <c r="L72" s="1"/>
      <c r="M72" s="1"/>
      <c r="N72" s="1"/>
      <c r="O72" s="1"/>
      <c r="P72" s="1"/>
      <c r="Q72" s="1"/>
      <c r="R72" s="1"/>
      <c r="S72" s="1"/>
      <c r="T72" s="1"/>
      <c r="U72" s="1"/>
      <c r="V72" s="1"/>
      <c r="W72" s="1"/>
      <c r="X72" s="1"/>
      <c r="Y72" s="1"/>
      <c r="Z72" s="1"/>
    </row>
    <row r="73" ht="12.75" customHeight="1" spans="1:26">
      <c r="A73" s="1"/>
      <c r="B73" s="102"/>
      <c r="C73" s="103"/>
      <c r="D73" s="103"/>
      <c r="E73" s="103"/>
      <c r="F73" s="103"/>
      <c r="G73" s="1"/>
      <c r="H73" s="1"/>
      <c r="I73" s="1"/>
      <c r="J73" s="1"/>
      <c r="K73" s="1"/>
      <c r="L73" s="1"/>
      <c r="M73" s="1"/>
      <c r="N73" s="1"/>
      <c r="O73" s="1"/>
      <c r="P73" s="1"/>
      <c r="Q73" s="1"/>
      <c r="R73" s="1"/>
      <c r="S73" s="1"/>
      <c r="T73" s="1"/>
      <c r="U73" s="1"/>
      <c r="V73" s="1"/>
      <c r="W73" s="1"/>
      <c r="X73" s="1"/>
      <c r="Y73" s="1"/>
      <c r="Z73" s="1"/>
    </row>
    <row r="74" ht="12.75" customHeight="1" spans="1:26">
      <c r="A74" s="1"/>
      <c r="B74" s="102"/>
      <c r="C74" s="103"/>
      <c r="D74" s="103"/>
      <c r="E74" s="103"/>
      <c r="F74" s="103"/>
      <c r="G74" s="1"/>
      <c r="H74" s="1"/>
      <c r="I74" s="1"/>
      <c r="J74" s="1"/>
      <c r="K74" s="1"/>
      <c r="L74" s="1"/>
      <c r="M74" s="1"/>
      <c r="N74" s="1"/>
      <c r="O74" s="1"/>
      <c r="P74" s="1"/>
      <c r="Q74" s="1"/>
      <c r="R74" s="1"/>
      <c r="S74" s="1"/>
      <c r="T74" s="1"/>
      <c r="U74" s="1"/>
      <c r="V74" s="1"/>
      <c r="W74" s="1"/>
      <c r="X74" s="1"/>
      <c r="Y74" s="1"/>
      <c r="Z74" s="1"/>
    </row>
    <row r="75" ht="12.75" customHeight="1" spans="1:26">
      <c r="A75" s="1"/>
      <c r="B75" s="102"/>
      <c r="C75" s="103"/>
      <c r="D75" s="103"/>
      <c r="E75" s="103"/>
      <c r="F75" s="103"/>
      <c r="G75" s="1"/>
      <c r="H75" s="1"/>
      <c r="I75" s="1"/>
      <c r="J75" s="1"/>
      <c r="K75" s="1"/>
      <c r="L75" s="1"/>
      <c r="M75" s="1"/>
      <c r="N75" s="1"/>
      <c r="O75" s="1"/>
      <c r="P75" s="1"/>
      <c r="Q75" s="1"/>
      <c r="R75" s="1"/>
      <c r="S75" s="1"/>
      <c r="T75" s="1"/>
      <c r="U75" s="1"/>
      <c r="V75" s="1"/>
      <c r="W75" s="1"/>
      <c r="X75" s="1"/>
      <c r="Y75" s="1"/>
      <c r="Z75" s="1"/>
    </row>
    <row r="76" ht="12.75" customHeight="1" spans="1:26">
      <c r="A76" s="1"/>
      <c r="B76" s="102"/>
      <c r="C76" s="103"/>
      <c r="D76" s="103"/>
      <c r="E76" s="103"/>
      <c r="F76" s="103"/>
      <c r="G76" s="1"/>
      <c r="H76" s="1"/>
      <c r="I76" s="1"/>
      <c r="J76" s="1"/>
      <c r="K76" s="1"/>
      <c r="L76" s="1"/>
      <c r="M76" s="1"/>
      <c r="N76" s="1"/>
      <c r="O76" s="1"/>
      <c r="P76" s="1"/>
      <c r="Q76" s="1"/>
      <c r="R76" s="1"/>
      <c r="S76" s="1"/>
      <c r="T76" s="1"/>
      <c r="U76" s="1"/>
      <c r="V76" s="1"/>
      <c r="W76" s="1"/>
      <c r="X76" s="1"/>
      <c r="Y76" s="1"/>
      <c r="Z76" s="1"/>
    </row>
    <row r="77" ht="12.75" customHeight="1" spans="1:26">
      <c r="A77" s="1"/>
      <c r="B77" s="102"/>
      <c r="C77" s="103"/>
      <c r="D77" s="103"/>
      <c r="E77" s="103"/>
      <c r="F77" s="103"/>
      <c r="G77" s="1"/>
      <c r="H77" s="1"/>
      <c r="I77" s="1"/>
      <c r="J77" s="1"/>
      <c r="K77" s="1"/>
      <c r="L77" s="1"/>
      <c r="M77" s="1"/>
      <c r="N77" s="1"/>
      <c r="O77" s="1"/>
      <c r="P77" s="1"/>
      <c r="Q77" s="1"/>
      <c r="R77" s="1"/>
      <c r="S77" s="1"/>
      <c r="T77" s="1"/>
      <c r="U77" s="1"/>
      <c r="V77" s="1"/>
      <c r="W77" s="1"/>
      <c r="X77" s="1"/>
      <c r="Y77" s="1"/>
      <c r="Z77" s="1"/>
    </row>
    <row r="78" ht="12.75" customHeight="1" spans="1:26">
      <c r="A78" s="1"/>
      <c r="B78" s="102"/>
      <c r="C78" s="103"/>
      <c r="D78" s="103"/>
      <c r="E78" s="103"/>
      <c r="F78" s="103"/>
      <c r="G78" s="1"/>
      <c r="H78" s="1"/>
      <c r="I78" s="1"/>
      <c r="J78" s="1"/>
      <c r="K78" s="1"/>
      <c r="L78" s="1"/>
      <c r="M78" s="1"/>
      <c r="N78" s="1"/>
      <c r="O78" s="1"/>
      <c r="P78" s="1"/>
      <c r="Q78" s="1"/>
      <c r="R78" s="1"/>
      <c r="S78" s="1"/>
      <c r="T78" s="1"/>
      <c r="U78" s="1"/>
      <c r="V78" s="1"/>
      <c r="W78" s="1"/>
      <c r="X78" s="1"/>
      <c r="Y78" s="1"/>
      <c r="Z78" s="1"/>
    </row>
    <row r="79" ht="12.75" customHeight="1" spans="1:26">
      <c r="A79" s="1"/>
      <c r="B79" s="102"/>
      <c r="C79" s="103"/>
      <c r="D79" s="103"/>
      <c r="E79" s="103"/>
      <c r="F79" s="103"/>
      <c r="G79" s="1"/>
      <c r="H79" s="1"/>
      <c r="I79" s="1"/>
      <c r="J79" s="1"/>
      <c r="K79" s="1"/>
      <c r="L79" s="1"/>
      <c r="M79" s="1"/>
      <c r="N79" s="1"/>
      <c r="O79" s="1"/>
      <c r="P79" s="1"/>
      <c r="Q79" s="1"/>
      <c r="R79" s="1"/>
      <c r="S79" s="1"/>
      <c r="T79" s="1"/>
      <c r="U79" s="1"/>
      <c r="V79" s="1"/>
      <c r="W79" s="1"/>
      <c r="X79" s="1"/>
      <c r="Y79" s="1"/>
      <c r="Z79" s="1"/>
    </row>
    <row r="80" ht="12.75" customHeight="1" spans="1:26">
      <c r="A80" s="1"/>
      <c r="B80" s="102"/>
      <c r="C80" s="103"/>
      <c r="D80" s="103"/>
      <c r="E80" s="103"/>
      <c r="F80" s="103"/>
      <c r="G80" s="1"/>
      <c r="H80" s="1"/>
      <c r="I80" s="1"/>
      <c r="J80" s="1"/>
      <c r="K80" s="1"/>
      <c r="L80" s="1"/>
      <c r="M80" s="1"/>
      <c r="N80" s="1"/>
      <c r="O80" s="1"/>
      <c r="P80" s="1"/>
      <c r="Q80" s="1"/>
      <c r="R80" s="1"/>
      <c r="S80" s="1"/>
      <c r="T80" s="1"/>
      <c r="U80" s="1"/>
      <c r="V80" s="1"/>
      <c r="W80" s="1"/>
      <c r="X80" s="1"/>
      <c r="Y80" s="1"/>
      <c r="Z80" s="1"/>
    </row>
    <row r="81" ht="12.75" customHeight="1" spans="1:26">
      <c r="A81" s="1"/>
      <c r="B81" s="102"/>
      <c r="C81" s="103"/>
      <c r="D81" s="103"/>
      <c r="E81" s="103"/>
      <c r="F81" s="103"/>
      <c r="G81" s="1"/>
      <c r="H81" s="1"/>
      <c r="I81" s="1"/>
      <c r="J81" s="1"/>
      <c r="K81" s="1"/>
      <c r="L81" s="1"/>
      <c r="M81" s="1"/>
      <c r="N81" s="1"/>
      <c r="O81" s="1"/>
      <c r="P81" s="1"/>
      <c r="Q81" s="1"/>
      <c r="R81" s="1"/>
      <c r="S81" s="1"/>
      <c r="T81" s="1"/>
      <c r="U81" s="1"/>
      <c r="V81" s="1"/>
      <c r="W81" s="1"/>
      <c r="X81" s="1"/>
      <c r="Y81" s="1"/>
      <c r="Z81" s="1"/>
    </row>
    <row r="82" ht="12.75" customHeight="1" spans="1:26">
      <c r="A82" s="1"/>
      <c r="B82" s="102"/>
      <c r="C82" s="103"/>
      <c r="D82" s="103"/>
      <c r="E82" s="103"/>
      <c r="F82" s="103"/>
      <c r="G82" s="1"/>
      <c r="H82" s="1"/>
      <c r="I82" s="1"/>
      <c r="J82" s="1"/>
      <c r="K82" s="1"/>
      <c r="L82" s="1"/>
      <c r="M82" s="1"/>
      <c r="N82" s="1"/>
      <c r="O82" s="1"/>
      <c r="P82" s="1"/>
      <c r="Q82" s="1"/>
      <c r="R82" s="1"/>
      <c r="S82" s="1"/>
      <c r="T82" s="1"/>
      <c r="U82" s="1"/>
      <c r="V82" s="1"/>
      <c r="W82" s="1"/>
      <c r="X82" s="1"/>
      <c r="Y82" s="1"/>
      <c r="Z82" s="1"/>
    </row>
    <row r="83" ht="12.75" customHeight="1" spans="1:26">
      <c r="A83" s="1"/>
      <c r="B83" s="102"/>
      <c r="C83" s="103"/>
      <c r="D83" s="103"/>
      <c r="E83" s="103"/>
      <c r="F83" s="103"/>
      <c r="G83" s="1"/>
      <c r="H83" s="1"/>
      <c r="I83" s="1"/>
      <c r="J83" s="1"/>
      <c r="K83" s="1"/>
      <c r="L83" s="1"/>
      <c r="M83" s="1"/>
      <c r="N83" s="1"/>
      <c r="O83" s="1"/>
      <c r="P83" s="1"/>
      <c r="Q83" s="1"/>
      <c r="R83" s="1"/>
      <c r="S83" s="1"/>
      <c r="T83" s="1"/>
      <c r="U83" s="1"/>
      <c r="V83" s="1"/>
      <c r="W83" s="1"/>
      <c r="X83" s="1"/>
      <c r="Y83" s="1"/>
      <c r="Z83" s="1"/>
    </row>
    <row r="84" ht="12.75" customHeight="1" spans="1:26">
      <c r="A84" s="1"/>
      <c r="B84" s="102"/>
      <c r="C84" s="103"/>
      <c r="D84" s="103"/>
      <c r="E84" s="103"/>
      <c r="F84" s="103"/>
      <c r="G84" s="1"/>
      <c r="H84" s="1"/>
      <c r="I84" s="1"/>
      <c r="J84" s="1"/>
      <c r="K84" s="1"/>
      <c r="L84" s="1"/>
      <c r="M84" s="1"/>
      <c r="N84" s="1"/>
      <c r="O84" s="1"/>
      <c r="P84" s="1"/>
      <c r="Q84" s="1"/>
      <c r="R84" s="1"/>
      <c r="S84" s="1"/>
      <c r="T84" s="1"/>
      <c r="U84" s="1"/>
      <c r="V84" s="1"/>
      <c r="W84" s="1"/>
      <c r="X84" s="1"/>
      <c r="Y84" s="1"/>
      <c r="Z84" s="1"/>
    </row>
    <row r="85" ht="12.75" customHeight="1" spans="1:26">
      <c r="A85" s="1"/>
      <c r="B85" s="102"/>
      <c r="C85" s="103"/>
      <c r="D85" s="103"/>
      <c r="E85" s="103"/>
      <c r="F85" s="103"/>
      <c r="G85" s="1"/>
      <c r="H85" s="1"/>
      <c r="I85" s="1"/>
      <c r="J85" s="1"/>
      <c r="K85" s="1"/>
      <c r="L85" s="1"/>
      <c r="M85" s="1"/>
      <c r="N85" s="1"/>
      <c r="O85" s="1"/>
      <c r="P85" s="1"/>
      <c r="Q85" s="1"/>
      <c r="R85" s="1"/>
      <c r="S85" s="1"/>
      <c r="T85" s="1"/>
      <c r="U85" s="1"/>
      <c r="V85" s="1"/>
      <c r="W85" s="1"/>
      <c r="X85" s="1"/>
      <c r="Y85" s="1"/>
      <c r="Z85" s="1"/>
    </row>
    <row r="86" ht="12.75" customHeight="1" spans="1:26">
      <c r="A86" s="1"/>
      <c r="B86" s="102"/>
      <c r="C86" s="103"/>
      <c r="D86" s="103"/>
      <c r="E86" s="103"/>
      <c r="F86" s="103"/>
      <c r="G86" s="1"/>
      <c r="H86" s="1"/>
      <c r="I86" s="1"/>
      <c r="J86" s="1"/>
      <c r="K86" s="1"/>
      <c r="L86" s="1"/>
      <c r="M86" s="1"/>
      <c r="N86" s="1"/>
      <c r="O86" s="1"/>
      <c r="P86" s="1"/>
      <c r="Q86" s="1"/>
      <c r="R86" s="1"/>
      <c r="S86" s="1"/>
      <c r="T86" s="1"/>
      <c r="U86" s="1"/>
      <c r="V86" s="1"/>
      <c r="W86" s="1"/>
      <c r="X86" s="1"/>
      <c r="Y86" s="1"/>
      <c r="Z86" s="1"/>
    </row>
    <row r="87" ht="12.75" customHeight="1" spans="1:26">
      <c r="A87" s="1"/>
      <c r="B87" s="102"/>
      <c r="C87" s="103"/>
      <c r="D87" s="103"/>
      <c r="E87" s="103"/>
      <c r="F87" s="103"/>
      <c r="G87" s="1"/>
      <c r="H87" s="1"/>
      <c r="I87" s="1"/>
      <c r="J87" s="1"/>
      <c r="K87" s="1"/>
      <c r="L87" s="1"/>
      <c r="M87" s="1"/>
      <c r="N87" s="1"/>
      <c r="O87" s="1"/>
      <c r="P87" s="1"/>
      <c r="Q87" s="1"/>
      <c r="R87" s="1"/>
      <c r="S87" s="1"/>
      <c r="T87" s="1"/>
      <c r="U87" s="1"/>
      <c r="V87" s="1"/>
      <c r="W87" s="1"/>
      <c r="X87" s="1"/>
      <c r="Y87" s="1"/>
      <c r="Z87" s="1"/>
    </row>
    <row r="88" ht="12.75" customHeight="1" spans="1:26">
      <c r="A88" s="1"/>
      <c r="B88" s="102"/>
      <c r="C88" s="103"/>
      <c r="D88" s="103"/>
      <c r="E88" s="103"/>
      <c r="F88" s="103"/>
      <c r="G88" s="1"/>
      <c r="H88" s="1"/>
      <c r="I88" s="1"/>
      <c r="J88" s="1"/>
      <c r="K88" s="1"/>
      <c r="L88" s="1"/>
      <c r="M88" s="1"/>
      <c r="N88" s="1"/>
      <c r="O88" s="1"/>
      <c r="P88" s="1"/>
      <c r="Q88" s="1"/>
      <c r="R88" s="1"/>
      <c r="S88" s="1"/>
      <c r="T88" s="1"/>
      <c r="U88" s="1"/>
      <c r="V88" s="1"/>
      <c r="W88" s="1"/>
      <c r="X88" s="1"/>
      <c r="Y88" s="1"/>
      <c r="Z88" s="1"/>
    </row>
    <row r="89" ht="12.75" customHeight="1" spans="1:26">
      <c r="A89" s="1"/>
      <c r="B89" s="102"/>
      <c r="C89" s="103"/>
      <c r="D89" s="103"/>
      <c r="E89" s="103"/>
      <c r="F89" s="103"/>
      <c r="G89" s="1"/>
      <c r="H89" s="1"/>
      <c r="I89" s="1"/>
      <c r="J89" s="1"/>
      <c r="K89" s="1"/>
      <c r="L89" s="1"/>
      <c r="M89" s="1"/>
      <c r="N89" s="1"/>
      <c r="O89" s="1"/>
      <c r="P89" s="1"/>
      <c r="Q89" s="1"/>
      <c r="R89" s="1"/>
      <c r="S89" s="1"/>
      <c r="T89" s="1"/>
      <c r="U89" s="1"/>
      <c r="V89" s="1"/>
      <c r="W89" s="1"/>
      <c r="X89" s="1"/>
      <c r="Y89" s="1"/>
      <c r="Z89" s="1"/>
    </row>
    <row r="90" ht="12.75" customHeight="1" spans="1:26">
      <c r="A90" s="1"/>
      <c r="B90" s="102"/>
      <c r="C90" s="103"/>
      <c r="D90" s="103"/>
      <c r="E90" s="103"/>
      <c r="F90" s="103"/>
      <c r="G90" s="1"/>
      <c r="H90" s="1"/>
      <c r="I90" s="1"/>
      <c r="J90" s="1"/>
      <c r="K90" s="1"/>
      <c r="L90" s="1"/>
      <c r="M90" s="1"/>
      <c r="N90" s="1"/>
      <c r="O90" s="1"/>
      <c r="P90" s="1"/>
      <c r="Q90" s="1"/>
      <c r="R90" s="1"/>
      <c r="S90" s="1"/>
      <c r="T90" s="1"/>
      <c r="U90" s="1"/>
      <c r="V90" s="1"/>
      <c r="W90" s="1"/>
      <c r="X90" s="1"/>
      <c r="Y90" s="1"/>
      <c r="Z90" s="1"/>
    </row>
    <row r="91" ht="12.75" customHeight="1" spans="1:26">
      <c r="A91" s="1"/>
      <c r="B91" s="102"/>
      <c r="C91" s="103"/>
      <c r="D91" s="103"/>
      <c r="E91" s="103"/>
      <c r="F91" s="103"/>
      <c r="G91" s="1"/>
      <c r="H91" s="1"/>
      <c r="I91" s="1"/>
      <c r="J91" s="1"/>
      <c r="K91" s="1"/>
      <c r="L91" s="1"/>
      <c r="M91" s="1"/>
      <c r="N91" s="1"/>
      <c r="O91" s="1"/>
      <c r="P91" s="1"/>
      <c r="Q91" s="1"/>
      <c r="R91" s="1"/>
      <c r="S91" s="1"/>
      <c r="T91" s="1"/>
      <c r="U91" s="1"/>
      <c r="V91" s="1"/>
      <c r="W91" s="1"/>
      <c r="X91" s="1"/>
      <c r="Y91" s="1"/>
      <c r="Z91" s="1"/>
    </row>
    <row r="92" ht="12.75" customHeight="1" spans="1:26">
      <c r="A92" s="1"/>
      <c r="B92" s="102"/>
      <c r="C92" s="103"/>
      <c r="D92" s="103"/>
      <c r="E92" s="103"/>
      <c r="F92" s="103"/>
      <c r="G92" s="1"/>
      <c r="H92" s="1"/>
      <c r="I92" s="1"/>
      <c r="J92" s="1"/>
      <c r="K92" s="1"/>
      <c r="L92" s="1"/>
      <c r="M92" s="1"/>
      <c r="N92" s="1"/>
      <c r="O92" s="1"/>
      <c r="P92" s="1"/>
      <c r="Q92" s="1"/>
      <c r="R92" s="1"/>
      <c r="S92" s="1"/>
      <c r="T92" s="1"/>
      <c r="U92" s="1"/>
      <c r="V92" s="1"/>
      <c r="W92" s="1"/>
      <c r="X92" s="1"/>
      <c r="Y92" s="1"/>
      <c r="Z92" s="1"/>
    </row>
    <row r="93" ht="12.75" customHeight="1" spans="1:26">
      <c r="A93" s="1"/>
      <c r="B93" s="102"/>
      <c r="C93" s="103"/>
      <c r="D93" s="103"/>
      <c r="E93" s="103"/>
      <c r="F93" s="103"/>
      <c r="G93" s="1"/>
      <c r="H93" s="1"/>
      <c r="I93" s="1"/>
      <c r="J93" s="1"/>
      <c r="K93" s="1"/>
      <c r="L93" s="1"/>
      <c r="M93" s="1"/>
      <c r="N93" s="1"/>
      <c r="O93" s="1"/>
      <c r="P93" s="1"/>
      <c r="Q93" s="1"/>
      <c r="R93" s="1"/>
      <c r="S93" s="1"/>
      <c r="T93" s="1"/>
      <c r="U93" s="1"/>
      <c r="V93" s="1"/>
      <c r="W93" s="1"/>
      <c r="X93" s="1"/>
      <c r="Y93" s="1"/>
      <c r="Z93" s="1"/>
    </row>
    <row r="94" ht="12.75" customHeight="1" spans="1:26">
      <c r="A94" s="1"/>
      <c r="B94" s="102"/>
      <c r="C94" s="103"/>
      <c r="D94" s="103"/>
      <c r="E94" s="103"/>
      <c r="F94" s="103"/>
      <c r="G94" s="1"/>
      <c r="H94" s="1"/>
      <c r="I94" s="1"/>
      <c r="J94" s="1"/>
      <c r="K94" s="1"/>
      <c r="L94" s="1"/>
      <c r="M94" s="1"/>
      <c r="N94" s="1"/>
      <c r="O94" s="1"/>
      <c r="P94" s="1"/>
      <c r="Q94" s="1"/>
      <c r="R94" s="1"/>
      <c r="S94" s="1"/>
      <c r="T94" s="1"/>
      <c r="U94" s="1"/>
      <c r="V94" s="1"/>
      <c r="W94" s="1"/>
      <c r="X94" s="1"/>
      <c r="Y94" s="1"/>
      <c r="Z94" s="1"/>
    </row>
    <row r="95" ht="12.75" customHeight="1" spans="1:26">
      <c r="A95" s="1"/>
      <c r="B95" s="102"/>
      <c r="C95" s="103"/>
      <c r="D95" s="103"/>
      <c r="E95" s="103"/>
      <c r="F95" s="103"/>
      <c r="G95" s="1"/>
      <c r="H95" s="1"/>
      <c r="I95" s="1"/>
      <c r="J95" s="1"/>
      <c r="K95" s="1"/>
      <c r="L95" s="1"/>
      <c r="M95" s="1"/>
      <c r="N95" s="1"/>
      <c r="O95" s="1"/>
      <c r="P95" s="1"/>
      <c r="Q95" s="1"/>
      <c r="R95" s="1"/>
      <c r="S95" s="1"/>
      <c r="T95" s="1"/>
      <c r="U95" s="1"/>
      <c r="V95" s="1"/>
      <c r="W95" s="1"/>
      <c r="X95" s="1"/>
      <c r="Y95" s="1"/>
      <c r="Z95" s="1"/>
    </row>
    <row r="96" ht="12.75" customHeight="1" spans="1:26">
      <c r="A96" s="1"/>
      <c r="B96" s="102"/>
      <c r="C96" s="103"/>
      <c r="D96" s="103"/>
      <c r="E96" s="103"/>
      <c r="F96" s="103"/>
      <c r="G96" s="1"/>
      <c r="H96" s="1"/>
      <c r="I96" s="1"/>
      <c r="J96" s="1"/>
      <c r="K96" s="1"/>
      <c r="L96" s="1"/>
      <c r="M96" s="1"/>
      <c r="N96" s="1"/>
      <c r="O96" s="1"/>
      <c r="P96" s="1"/>
      <c r="Q96" s="1"/>
      <c r="R96" s="1"/>
      <c r="S96" s="1"/>
      <c r="T96" s="1"/>
      <c r="U96" s="1"/>
      <c r="V96" s="1"/>
      <c r="W96" s="1"/>
      <c r="X96" s="1"/>
      <c r="Y96" s="1"/>
      <c r="Z96" s="1"/>
    </row>
    <row r="97" ht="12.75" customHeight="1" spans="1:26">
      <c r="A97" s="1"/>
      <c r="B97" s="102"/>
      <c r="C97" s="103"/>
      <c r="D97" s="103"/>
      <c r="E97" s="103"/>
      <c r="F97" s="103"/>
      <c r="G97" s="1"/>
      <c r="H97" s="1"/>
      <c r="I97" s="1"/>
      <c r="J97" s="1"/>
      <c r="K97" s="1"/>
      <c r="L97" s="1"/>
      <c r="M97" s="1"/>
      <c r="N97" s="1"/>
      <c r="O97" s="1"/>
      <c r="P97" s="1"/>
      <c r="Q97" s="1"/>
      <c r="R97" s="1"/>
      <c r="S97" s="1"/>
      <c r="T97" s="1"/>
      <c r="U97" s="1"/>
      <c r="V97" s="1"/>
      <c r="W97" s="1"/>
      <c r="X97" s="1"/>
      <c r="Y97" s="1"/>
      <c r="Z97" s="1"/>
    </row>
    <row r="98" ht="12.75" customHeight="1" spans="1:26">
      <c r="A98" s="1"/>
      <c r="B98" s="102"/>
      <c r="C98" s="103"/>
      <c r="D98" s="103"/>
      <c r="E98" s="103"/>
      <c r="F98" s="103"/>
      <c r="G98" s="1"/>
      <c r="H98" s="1"/>
      <c r="I98" s="1"/>
      <c r="J98" s="1"/>
      <c r="K98" s="1"/>
      <c r="L98" s="1"/>
      <c r="M98" s="1"/>
      <c r="N98" s="1"/>
      <c r="O98" s="1"/>
      <c r="P98" s="1"/>
      <c r="Q98" s="1"/>
      <c r="R98" s="1"/>
      <c r="S98" s="1"/>
      <c r="T98" s="1"/>
      <c r="U98" s="1"/>
      <c r="V98" s="1"/>
      <c r="W98" s="1"/>
      <c r="X98" s="1"/>
      <c r="Y98" s="1"/>
      <c r="Z98" s="1"/>
    </row>
    <row r="99" ht="12.75" customHeight="1" spans="1:26">
      <c r="A99" s="1"/>
      <c r="B99" s="102"/>
      <c r="C99" s="103"/>
      <c r="D99" s="103"/>
      <c r="E99" s="103"/>
      <c r="F99" s="103"/>
      <c r="G99" s="1"/>
      <c r="H99" s="1"/>
      <c r="I99" s="1"/>
      <c r="J99" s="1"/>
      <c r="K99" s="1"/>
      <c r="L99" s="1"/>
      <c r="M99" s="1"/>
      <c r="N99" s="1"/>
      <c r="O99" s="1"/>
      <c r="P99" s="1"/>
      <c r="Q99" s="1"/>
      <c r="R99" s="1"/>
      <c r="S99" s="1"/>
      <c r="T99" s="1"/>
      <c r="U99" s="1"/>
      <c r="V99" s="1"/>
      <c r="W99" s="1"/>
      <c r="X99" s="1"/>
      <c r="Y99" s="1"/>
      <c r="Z99" s="1"/>
    </row>
    <row r="100" ht="12.75" customHeight="1" spans="1:26">
      <c r="A100" s="1"/>
      <c r="B100" s="102"/>
      <c r="C100" s="103"/>
      <c r="D100" s="103"/>
      <c r="E100" s="103"/>
      <c r="F100" s="103"/>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102"/>
      <c r="C101" s="103"/>
      <c r="D101" s="103"/>
      <c r="E101" s="103"/>
      <c r="F101" s="103"/>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102"/>
      <c r="C102" s="103"/>
      <c r="D102" s="103"/>
      <c r="E102" s="103"/>
      <c r="F102" s="103"/>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102"/>
      <c r="C103" s="103"/>
      <c r="D103" s="103"/>
      <c r="E103" s="103"/>
      <c r="F103" s="103"/>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102"/>
      <c r="C104" s="103"/>
      <c r="D104" s="103"/>
      <c r="E104" s="103"/>
      <c r="F104" s="103"/>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102"/>
      <c r="C105" s="103"/>
      <c r="D105" s="103"/>
      <c r="E105" s="103"/>
      <c r="F105" s="103"/>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102"/>
      <c r="C106" s="103"/>
      <c r="D106" s="103"/>
      <c r="E106" s="103"/>
      <c r="F106" s="103"/>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102"/>
      <c r="C107" s="103"/>
      <c r="D107" s="103"/>
      <c r="E107" s="103"/>
      <c r="F107" s="103"/>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102"/>
      <c r="C108" s="103"/>
      <c r="D108" s="103"/>
      <c r="E108" s="103"/>
      <c r="F108" s="103"/>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102"/>
      <c r="C109" s="103"/>
      <c r="D109" s="103"/>
      <c r="E109" s="103"/>
      <c r="F109" s="103"/>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102"/>
      <c r="C110" s="103"/>
      <c r="D110" s="103"/>
      <c r="E110" s="103"/>
      <c r="F110" s="103"/>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102"/>
      <c r="C111" s="103"/>
      <c r="D111" s="103"/>
      <c r="E111" s="103"/>
      <c r="F111" s="103"/>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102"/>
      <c r="C112" s="103"/>
      <c r="D112" s="103"/>
      <c r="E112" s="103"/>
      <c r="F112" s="103"/>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102"/>
      <c r="C113" s="103"/>
      <c r="D113" s="103"/>
      <c r="E113" s="103"/>
      <c r="F113" s="103"/>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102"/>
      <c r="C114" s="103"/>
      <c r="D114" s="103"/>
      <c r="E114" s="103"/>
      <c r="F114" s="103"/>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102"/>
      <c r="C115" s="103"/>
      <c r="D115" s="103"/>
      <c r="E115" s="103"/>
      <c r="F115" s="103"/>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102"/>
      <c r="C116" s="103"/>
      <c r="D116" s="103"/>
      <c r="E116" s="103"/>
      <c r="F116" s="103"/>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102"/>
      <c r="C117" s="103"/>
      <c r="D117" s="103"/>
      <c r="E117" s="103"/>
      <c r="F117" s="103"/>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102"/>
      <c r="C118" s="103"/>
      <c r="D118" s="103"/>
      <c r="E118" s="103"/>
      <c r="F118" s="103"/>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102"/>
      <c r="C119" s="103"/>
      <c r="D119" s="103"/>
      <c r="E119" s="103"/>
      <c r="F119" s="103"/>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102"/>
      <c r="C120" s="103"/>
      <c r="D120" s="103"/>
      <c r="E120" s="103"/>
      <c r="F120" s="103"/>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102"/>
      <c r="C121" s="103"/>
      <c r="D121" s="103"/>
      <c r="E121" s="103"/>
      <c r="F121" s="103"/>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102"/>
      <c r="C122" s="103"/>
      <c r="D122" s="103"/>
      <c r="E122" s="103"/>
      <c r="F122" s="103"/>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102"/>
      <c r="C123" s="103"/>
      <c r="D123" s="103"/>
      <c r="E123" s="103"/>
      <c r="F123" s="103"/>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102"/>
      <c r="C124" s="103"/>
      <c r="D124" s="103"/>
      <c r="E124" s="103"/>
      <c r="F124" s="103"/>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102"/>
      <c r="C125" s="103"/>
      <c r="D125" s="103"/>
      <c r="E125" s="103"/>
      <c r="F125" s="103"/>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102"/>
      <c r="C126" s="103"/>
      <c r="D126" s="103"/>
      <c r="E126" s="103"/>
      <c r="F126" s="103"/>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102"/>
      <c r="C127" s="103"/>
      <c r="D127" s="103"/>
      <c r="E127" s="103"/>
      <c r="F127" s="103"/>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102"/>
      <c r="C128" s="103"/>
      <c r="D128" s="103"/>
      <c r="E128" s="103"/>
      <c r="F128" s="103"/>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102"/>
      <c r="C129" s="103"/>
      <c r="D129" s="103"/>
      <c r="E129" s="103"/>
      <c r="F129" s="103"/>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102"/>
      <c r="C130" s="103"/>
      <c r="D130" s="103"/>
      <c r="E130" s="103"/>
      <c r="F130" s="103"/>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102"/>
      <c r="C131" s="103"/>
      <c r="D131" s="103"/>
      <c r="E131" s="103"/>
      <c r="F131" s="103"/>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102"/>
      <c r="C132" s="103"/>
      <c r="D132" s="103"/>
      <c r="E132" s="103"/>
      <c r="F132" s="103"/>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102"/>
      <c r="C133" s="103"/>
      <c r="D133" s="103"/>
      <c r="E133" s="103"/>
      <c r="F133" s="103"/>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102"/>
      <c r="C134" s="103"/>
      <c r="D134" s="103"/>
      <c r="E134" s="103"/>
      <c r="F134" s="103"/>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102"/>
      <c r="C135" s="103"/>
      <c r="D135" s="103"/>
      <c r="E135" s="103"/>
      <c r="F135" s="103"/>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102"/>
      <c r="C136" s="103"/>
      <c r="D136" s="103"/>
      <c r="E136" s="103"/>
      <c r="F136" s="103"/>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102"/>
      <c r="C137" s="103"/>
      <c r="D137" s="103"/>
      <c r="E137" s="103"/>
      <c r="F137" s="103"/>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102"/>
      <c r="C138" s="103"/>
      <c r="D138" s="103"/>
      <c r="E138" s="103"/>
      <c r="F138" s="103"/>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102"/>
      <c r="C139" s="103"/>
      <c r="D139" s="103"/>
      <c r="E139" s="103"/>
      <c r="F139" s="103"/>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102"/>
      <c r="C140" s="103"/>
      <c r="D140" s="103"/>
      <c r="E140" s="103"/>
      <c r="F140" s="103"/>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102"/>
      <c r="C141" s="103"/>
      <c r="D141" s="103"/>
      <c r="E141" s="103"/>
      <c r="F141" s="103"/>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102"/>
      <c r="C142" s="103"/>
      <c r="D142" s="103"/>
      <c r="E142" s="103"/>
      <c r="F142" s="103"/>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102"/>
      <c r="C143" s="103"/>
      <c r="D143" s="103"/>
      <c r="E143" s="103"/>
      <c r="F143" s="103"/>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102"/>
      <c r="C144" s="103"/>
      <c r="D144" s="103"/>
      <c r="E144" s="103"/>
      <c r="F144" s="103"/>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102"/>
      <c r="C145" s="103"/>
      <c r="D145" s="103"/>
      <c r="E145" s="103"/>
      <c r="F145" s="103"/>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102"/>
      <c r="C146" s="103"/>
      <c r="D146" s="103"/>
      <c r="E146" s="103"/>
      <c r="F146" s="103"/>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102"/>
      <c r="C147" s="103"/>
      <c r="D147" s="103"/>
      <c r="E147" s="103"/>
      <c r="F147" s="103"/>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102"/>
      <c r="C148" s="103"/>
      <c r="D148" s="103"/>
      <c r="E148" s="103"/>
      <c r="F148" s="103"/>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102"/>
      <c r="C149" s="103"/>
      <c r="D149" s="103"/>
      <c r="E149" s="103"/>
      <c r="F149" s="103"/>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102"/>
      <c r="C150" s="103"/>
      <c r="D150" s="103"/>
      <c r="E150" s="103"/>
      <c r="F150" s="103"/>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102"/>
      <c r="C151" s="103"/>
      <c r="D151" s="103"/>
      <c r="E151" s="103"/>
      <c r="F151" s="103"/>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102"/>
      <c r="C152" s="103"/>
      <c r="D152" s="103"/>
      <c r="E152" s="103"/>
      <c r="F152" s="103"/>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102"/>
      <c r="C153" s="103"/>
      <c r="D153" s="103"/>
      <c r="E153" s="103"/>
      <c r="F153" s="103"/>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102"/>
      <c r="C154" s="103"/>
      <c r="D154" s="103"/>
      <c r="E154" s="103"/>
      <c r="F154" s="103"/>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102"/>
      <c r="C155" s="103"/>
      <c r="D155" s="103"/>
      <c r="E155" s="103"/>
      <c r="F155" s="103"/>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102"/>
      <c r="C156" s="103"/>
      <c r="D156" s="103"/>
      <c r="E156" s="103"/>
      <c r="F156" s="103"/>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102"/>
      <c r="C157" s="103"/>
      <c r="D157" s="103"/>
      <c r="E157" s="103"/>
      <c r="F157" s="103"/>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102"/>
      <c r="C158" s="103"/>
      <c r="D158" s="103"/>
      <c r="E158" s="103"/>
      <c r="F158" s="103"/>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102"/>
      <c r="C159" s="103"/>
      <c r="D159" s="103"/>
      <c r="E159" s="103"/>
      <c r="F159" s="103"/>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102"/>
      <c r="C160" s="103"/>
      <c r="D160" s="103"/>
      <c r="E160" s="103"/>
      <c r="F160" s="103"/>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102"/>
      <c r="C161" s="103"/>
      <c r="D161" s="103"/>
      <c r="E161" s="103"/>
      <c r="F161" s="103"/>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102"/>
      <c r="C162" s="103"/>
      <c r="D162" s="103"/>
      <c r="E162" s="103"/>
      <c r="F162" s="103"/>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102"/>
      <c r="C163" s="103"/>
      <c r="D163" s="103"/>
      <c r="E163" s="103"/>
      <c r="F163" s="103"/>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102"/>
      <c r="C164" s="103"/>
      <c r="D164" s="103"/>
      <c r="E164" s="103"/>
      <c r="F164" s="103"/>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102"/>
      <c r="C165" s="103"/>
      <c r="D165" s="103"/>
      <c r="E165" s="103"/>
      <c r="F165" s="103"/>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102"/>
      <c r="C166" s="103"/>
      <c r="D166" s="103"/>
      <c r="E166" s="103"/>
      <c r="F166" s="103"/>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102"/>
      <c r="C167" s="103"/>
      <c r="D167" s="103"/>
      <c r="E167" s="103"/>
      <c r="F167" s="103"/>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102"/>
      <c r="C168" s="103"/>
      <c r="D168" s="103"/>
      <c r="E168" s="103"/>
      <c r="F168" s="103"/>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102"/>
      <c r="C169" s="103"/>
      <c r="D169" s="103"/>
      <c r="E169" s="103"/>
      <c r="F169" s="103"/>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102"/>
      <c r="C170" s="103"/>
      <c r="D170" s="103"/>
      <c r="E170" s="103"/>
      <c r="F170" s="103"/>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102"/>
      <c r="C171" s="103"/>
      <c r="D171" s="103"/>
      <c r="E171" s="103"/>
      <c r="F171" s="103"/>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102"/>
      <c r="C172" s="103"/>
      <c r="D172" s="103"/>
      <c r="E172" s="103"/>
      <c r="F172" s="103"/>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102"/>
      <c r="C173" s="103"/>
      <c r="D173" s="103"/>
      <c r="E173" s="103"/>
      <c r="F173" s="103"/>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102"/>
      <c r="C174" s="103"/>
      <c r="D174" s="103"/>
      <c r="E174" s="103"/>
      <c r="F174" s="103"/>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102"/>
      <c r="C175" s="103"/>
      <c r="D175" s="103"/>
      <c r="E175" s="103"/>
      <c r="F175" s="103"/>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102"/>
      <c r="C176" s="103"/>
      <c r="D176" s="103"/>
      <c r="E176" s="103"/>
      <c r="F176" s="103"/>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102"/>
      <c r="C177" s="103"/>
      <c r="D177" s="103"/>
      <c r="E177" s="103"/>
      <c r="F177" s="103"/>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102"/>
      <c r="C178" s="103"/>
      <c r="D178" s="103"/>
      <c r="E178" s="103"/>
      <c r="F178" s="103"/>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102"/>
      <c r="C179" s="103"/>
      <c r="D179" s="103"/>
      <c r="E179" s="103"/>
      <c r="F179" s="103"/>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102"/>
      <c r="C180" s="103"/>
      <c r="D180" s="103"/>
      <c r="E180" s="103"/>
      <c r="F180" s="103"/>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102"/>
      <c r="C181" s="103"/>
      <c r="D181" s="103"/>
      <c r="E181" s="103"/>
      <c r="F181" s="103"/>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102"/>
      <c r="C182" s="103"/>
      <c r="D182" s="103"/>
      <c r="E182" s="103"/>
      <c r="F182" s="103"/>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102"/>
      <c r="C183" s="103"/>
      <c r="D183" s="103"/>
      <c r="E183" s="103"/>
      <c r="F183" s="103"/>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102"/>
      <c r="C184" s="103"/>
      <c r="D184" s="103"/>
      <c r="E184" s="103"/>
      <c r="F184" s="103"/>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102"/>
      <c r="C185" s="103"/>
      <c r="D185" s="103"/>
      <c r="E185" s="103"/>
      <c r="F185" s="103"/>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102"/>
      <c r="C186" s="103"/>
      <c r="D186" s="103"/>
      <c r="E186" s="103"/>
      <c r="F186" s="103"/>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102"/>
      <c r="C187" s="103"/>
      <c r="D187" s="103"/>
      <c r="E187" s="103"/>
      <c r="F187" s="103"/>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102"/>
      <c r="C188" s="103"/>
      <c r="D188" s="103"/>
      <c r="E188" s="103"/>
      <c r="F188" s="103"/>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102"/>
      <c r="C189" s="103"/>
      <c r="D189" s="103"/>
      <c r="E189" s="103"/>
      <c r="F189" s="103"/>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102"/>
      <c r="C190" s="103"/>
      <c r="D190" s="103"/>
      <c r="E190" s="103"/>
      <c r="F190" s="103"/>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102"/>
      <c r="C191" s="103"/>
      <c r="D191" s="103"/>
      <c r="E191" s="103"/>
      <c r="F191" s="103"/>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102"/>
      <c r="C192" s="103"/>
      <c r="D192" s="103"/>
      <c r="E192" s="103"/>
      <c r="F192" s="103"/>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102"/>
      <c r="C193" s="103"/>
      <c r="D193" s="103"/>
      <c r="E193" s="103"/>
      <c r="F193" s="103"/>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102"/>
      <c r="C194" s="103"/>
      <c r="D194" s="103"/>
      <c r="E194" s="103"/>
      <c r="F194" s="103"/>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102"/>
      <c r="C195" s="103"/>
      <c r="D195" s="103"/>
      <c r="E195" s="103"/>
      <c r="F195" s="103"/>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102"/>
      <c r="C196" s="103"/>
      <c r="D196" s="103"/>
      <c r="E196" s="103"/>
      <c r="F196" s="103"/>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102"/>
      <c r="C197" s="103"/>
      <c r="D197" s="103"/>
      <c r="E197" s="103"/>
      <c r="F197" s="103"/>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102"/>
      <c r="C198" s="103"/>
      <c r="D198" s="103"/>
      <c r="E198" s="103"/>
      <c r="F198" s="103"/>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102"/>
      <c r="C199" s="103"/>
      <c r="D199" s="103"/>
      <c r="E199" s="103"/>
      <c r="F199" s="103"/>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102"/>
      <c r="C200" s="103"/>
      <c r="D200" s="103"/>
      <c r="E200" s="103"/>
      <c r="F200" s="103"/>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102"/>
      <c r="C201" s="103"/>
      <c r="D201" s="103"/>
      <c r="E201" s="103"/>
      <c r="F201" s="103"/>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102"/>
      <c r="C202" s="103"/>
      <c r="D202" s="103"/>
      <c r="E202" s="103"/>
      <c r="F202" s="103"/>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102"/>
      <c r="C203" s="103"/>
      <c r="D203" s="103"/>
      <c r="E203" s="103"/>
      <c r="F203" s="103"/>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102"/>
      <c r="C204" s="103"/>
      <c r="D204" s="103"/>
      <c r="E204" s="103"/>
      <c r="F204" s="103"/>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102"/>
      <c r="C205" s="103"/>
      <c r="D205" s="103"/>
      <c r="E205" s="103"/>
      <c r="F205" s="103"/>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102"/>
      <c r="C206" s="103"/>
      <c r="D206" s="103"/>
      <c r="E206" s="103"/>
      <c r="F206" s="103"/>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102"/>
      <c r="C207" s="103"/>
      <c r="D207" s="103"/>
      <c r="E207" s="103"/>
      <c r="F207" s="103"/>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102"/>
      <c r="C208" s="103"/>
      <c r="D208" s="103"/>
      <c r="E208" s="103"/>
      <c r="F208" s="103"/>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102"/>
      <c r="C209" s="103"/>
      <c r="D209" s="103"/>
      <c r="E209" s="103"/>
      <c r="F209" s="103"/>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102"/>
      <c r="C210" s="103"/>
      <c r="D210" s="103"/>
      <c r="E210" s="103"/>
      <c r="F210" s="103"/>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102"/>
      <c r="C211" s="103"/>
      <c r="D211" s="103"/>
      <c r="E211" s="103"/>
      <c r="F211" s="103"/>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102"/>
      <c r="C212" s="103"/>
      <c r="D212" s="103"/>
      <c r="E212" s="103"/>
      <c r="F212" s="103"/>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102"/>
      <c r="C213" s="103"/>
      <c r="D213" s="103"/>
      <c r="E213" s="103"/>
      <c r="F213" s="103"/>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102"/>
      <c r="C214" s="103"/>
      <c r="D214" s="103"/>
      <c r="E214" s="103"/>
      <c r="F214" s="103"/>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102"/>
      <c r="C215" s="103"/>
      <c r="D215" s="103"/>
      <c r="E215" s="103"/>
      <c r="F215" s="103"/>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102"/>
      <c r="C216" s="103"/>
      <c r="D216" s="103"/>
      <c r="E216" s="103"/>
      <c r="F216" s="103"/>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102"/>
      <c r="C217" s="103"/>
      <c r="D217" s="103"/>
      <c r="E217" s="103"/>
      <c r="F217" s="103"/>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102"/>
      <c r="C218" s="103"/>
      <c r="D218" s="103"/>
      <c r="E218" s="103"/>
      <c r="F218" s="103"/>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102"/>
      <c r="C219" s="103"/>
      <c r="D219" s="103"/>
      <c r="E219" s="103"/>
      <c r="F219" s="103"/>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102"/>
      <c r="C220" s="103"/>
      <c r="D220" s="103"/>
      <c r="E220" s="103"/>
      <c r="F220" s="103"/>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102"/>
      <c r="C221" s="103"/>
      <c r="D221" s="103"/>
      <c r="E221" s="103"/>
      <c r="F221" s="103"/>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102"/>
      <c r="C222" s="103"/>
      <c r="D222" s="103"/>
      <c r="E222" s="103"/>
      <c r="F222" s="103"/>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102"/>
      <c r="C223" s="103"/>
      <c r="D223" s="103"/>
      <c r="E223" s="103"/>
      <c r="F223" s="103"/>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102"/>
      <c r="C224" s="103"/>
      <c r="D224" s="103"/>
      <c r="E224" s="103"/>
      <c r="F224" s="103"/>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102"/>
      <c r="C225" s="103"/>
      <c r="D225" s="103"/>
      <c r="E225" s="103"/>
      <c r="F225" s="103"/>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102"/>
      <c r="C226" s="103"/>
      <c r="D226" s="103"/>
      <c r="E226" s="103"/>
      <c r="F226" s="103"/>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102"/>
      <c r="C227" s="103"/>
      <c r="D227" s="103"/>
      <c r="E227" s="103"/>
      <c r="F227" s="103"/>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102"/>
      <c r="C228" s="103"/>
      <c r="D228" s="103"/>
      <c r="E228" s="103"/>
      <c r="F228" s="103"/>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102"/>
      <c r="C229" s="103"/>
      <c r="D229" s="103"/>
      <c r="E229" s="103"/>
      <c r="F229" s="103"/>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102"/>
      <c r="C230" s="103"/>
      <c r="D230" s="103"/>
      <c r="E230" s="103"/>
      <c r="F230" s="103"/>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102"/>
      <c r="C231" s="103"/>
      <c r="D231" s="103"/>
      <c r="E231" s="103"/>
      <c r="F231" s="103"/>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102"/>
      <c r="C232" s="103"/>
      <c r="D232" s="103"/>
      <c r="E232" s="103"/>
      <c r="F232" s="103"/>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102"/>
      <c r="C233" s="103"/>
      <c r="D233" s="103"/>
      <c r="E233" s="103"/>
      <c r="F233" s="103"/>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102"/>
      <c r="C234" s="103"/>
      <c r="D234" s="103"/>
      <c r="E234" s="103"/>
      <c r="F234" s="103"/>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102"/>
      <c r="C235" s="103"/>
      <c r="D235" s="103"/>
      <c r="E235" s="103"/>
      <c r="F235" s="103"/>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102"/>
      <c r="C236" s="103"/>
      <c r="D236" s="103"/>
      <c r="E236" s="103"/>
      <c r="F236" s="103"/>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102"/>
      <c r="C237" s="103"/>
      <c r="D237" s="103"/>
      <c r="E237" s="103"/>
      <c r="F237" s="103"/>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102"/>
      <c r="C238" s="103"/>
      <c r="D238" s="103"/>
      <c r="E238" s="103"/>
      <c r="F238" s="103"/>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102"/>
      <c r="C239" s="103"/>
      <c r="D239" s="103"/>
      <c r="E239" s="103"/>
      <c r="F239" s="103"/>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102"/>
      <c r="C240" s="103"/>
      <c r="D240" s="103"/>
      <c r="E240" s="103"/>
      <c r="F240" s="103"/>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102"/>
      <c r="C241" s="103"/>
      <c r="D241" s="103"/>
      <c r="E241" s="103"/>
      <c r="F241" s="103"/>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102"/>
      <c r="C242" s="103"/>
      <c r="D242" s="103"/>
      <c r="E242" s="103"/>
      <c r="F242" s="103"/>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102"/>
      <c r="C243" s="103"/>
      <c r="D243" s="103"/>
      <c r="E243" s="103"/>
      <c r="F243" s="103"/>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102"/>
      <c r="C244" s="103"/>
      <c r="D244" s="103"/>
      <c r="E244" s="103"/>
      <c r="F244" s="103"/>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102"/>
      <c r="C245" s="103"/>
      <c r="D245" s="103"/>
      <c r="E245" s="103"/>
      <c r="F245" s="103"/>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102"/>
      <c r="C246" s="103"/>
      <c r="D246" s="103"/>
      <c r="E246" s="103"/>
      <c r="F246" s="103"/>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102"/>
      <c r="C247" s="103"/>
      <c r="D247" s="103"/>
      <c r="E247" s="103"/>
      <c r="F247" s="103"/>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102"/>
      <c r="C248" s="103"/>
      <c r="D248" s="103"/>
      <c r="E248" s="103"/>
      <c r="F248" s="103"/>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102"/>
      <c r="C249" s="103"/>
      <c r="D249" s="103"/>
      <c r="E249" s="103"/>
      <c r="F249" s="103"/>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102"/>
      <c r="C250" s="103"/>
      <c r="D250" s="103"/>
      <c r="E250" s="103"/>
      <c r="F250" s="103"/>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102"/>
      <c r="C251" s="103"/>
      <c r="D251" s="103"/>
      <c r="E251" s="103"/>
      <c r="F251" s="103"/>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102"/>
      <c r="C252" s="103"/>
      <c r="D252" s="103"/>
      <c r="E252" s="103"/>
      <c r="F252" s="103"/>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102"/>
      <c r="C253" s="103"/>
      <c r="D253" s="103"/>
      <c r="E253" s="103"/>
      <c r="F253" s="103"/>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102"/>
      <c r="C254" s="103"/>
      <c r="D254" s="103"/>
      <c r="E254" s="103"/>
      <c r="F254" s="103"/>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102"/>
      <c r="C255" s="103"/>
      <c r="D255" s="103"/>
      <c r="E255" s="103"/>
      <c r="F255" s="103"/>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102"/>
      <c r="C256" s="103"/>
      <c r="D256" s="103"/>
      <c r="E256" s="103"/>
      <c r="F256" s="103"/>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102"/>
      <c r="C257" s="103"/>
      <c r="D257" s="103"/>
      <c r="E257" s="103"/>
      <c r="F257" s="103"/>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102"/>
      <c r="C258" s="103"/>
      <c r="D258" s="103"/>
      <c r="E258" s="103"/>
      <c r="F258" s="103"/>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102"/>
      <c r="C259" s="103"/>
      <c r="D259" s="103"/>
      <c r="E259" s="103"/>
      <c r="F259" s="103"/>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102"/>
      <c r="C260" s="103"/>
      <c r="D260" s="103"/>
      <c r="E260" s="103"/>
      <c r="F260" s="103"/>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102"/>
      <c r="C261" s="103"/>
      <c r="D261" s="103"/>
      <c r="E261" s="103"/>
      <c r="F261" s="103"/>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102"/>
      <c r="C262" s="103"/>
      <c r="D262" s="103"/>
      <c r="E262" s="103"/>
      <c r="F262" s="103"/>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102"/>
      <c r="C263" s="103"/>
      <c r="D263" s="103"/>
      <c r="E263" s="103"/>
      <c r="F263" s="103"/>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102"/>
      <c r="C264" s="103"/>
      <c r="D264" s="103"/>
      <c r="E264" s="103"/>
      <c r="F264" s="103"/>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102"/>
      <c r="C265" s="103"/>
      <c r="D265" s="103"/>
      <c r="E265" s="103"/>
      <c r="F265" s="103"/>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102"/>
      <c r="C266" s="103"/>
      <c r="D266" s="103"/>
      <c r="E266" s="103"/>
      <c r="F266" s="103"/>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102"/>
      <c r="C267" s="103"/>
      <c r="D267" s="103"/>
      <c r="E267" s="103"/>
      <c r="F267" s="103"/>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102"/>
      <c r="C268" s="103"/>
      <c r="D268" s="103"/>
      <c r="E268" s="103"/>
      <c r="F268" s="103"/>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102"/>
      <c r="C269" s="103"/>
      <c r="D269" s="103"/>
      <c r="E269" s="103"/>
      <c r="F269" s="103"/>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102"/>
      <c r="C270" s="103"/>
      <c r="D270" s="103"/>
      <c r="E270" s="103"/>
      <c r="F270" s="103"/>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102"/>
      <c r="C271" s="103"/>
      <c r="D271" s="103"/>
      <c r="E271" s="103"/>
      <c r="F271" s="103"/>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102"/>
      <c r="C272" s="103"/>
      <c r="D272" s="103"/>
      <c r="E272" s="103"/>
      <c r="F272" s="103"/>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102"/>
      <c r="C273" s="103"/>
      <c r="D273" s="103"/>
      <c r="E273" s="103"/>
      <c r="F273" s="103"/>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102"/>
      <c r="C274" s="103"/>
      <c r="D274" s="103"/>
      <c r="E274" s="103"/>
      <c r="F274" s="103"/>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102"/>
      <c r="C275" s="103"/>
      <c r="D275" s="103"/>
      <c r="E275" s="103"/>
      <c r="F275" s="103"/>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102"/>
      <c r="C276" s="103"/>
      <c r="D276" s="103"/>
      <c r="E276" s="103"/>
      <c r="F276" s="103"/>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102"/>
      <c r="C277" s="103"/>
      <c r="D277" s="103"/>
      <c r="E277" s="103"/>
      <c r="F277" s="103"/>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102"/>
      <c r="C278" s="103"/>
      <c r="D278" s="103"/>
      <c r="E278" s="103"/>
      <c r="F278" s="103"/>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102"/>
      <c r="C279" s="103"/>
      <c r="D279" s="103"/>
      <c r="E279" s="103"/>
      <c r="F279" s="103"/>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102"/>
      <c r="C280" s="103"/>
      <c r="D280" s="103"/>
      <c r="E280" s="103"/>
      <c r="F280" s="103"/>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102"/>
      <c r="C281" s="103"/>
      <c r="D281" s="103"/>
      <c r="E281" s="103"/>
      <c r="F281" s="103"/>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102"/>
      <c r="C282" s="103"/>
      <c r="D282" s="103"/>
      <c r="E282" s="103"/>
      <c r="F282" s="103"/>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102"/>
      <c r="C283" s="103"/>
      <c r="D283" s="103"/>
      <c r="E283" s="103"/>
      <c r="F283" s="103"/>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102"/>
      <c r="C284" s="103"/>
      <c r="D284" s="103"/>
      <c r="E284" s="103"/>
      <c r="F284" s="103"/>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102"/>
      <c r="C285" s="103"/>
      <c r="D285" s="103"/>
      <c r="E285" s="103"/>
      <c r="F285" s="103"/>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102"/>
      <c r="C286" s="103"/>
      <c r="D286" s="103"/>
      <c r="E286" s="103"/>
      <c r="F286" s="103"/>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102"/>
      <c r="C287" s="103"/>
      <c r="D287" s="103"/>
      <c r="E287" s="103"/>
      <c r="F287" s="103"/>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102"/>
      <c r="C288" s="103"/>
      <c r="D288" s="103"/>
      <c r="E288" s="103"/>
      <c r="F288" s="103"/>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102"/>
      <c r="C289" s="103"/>
      <c r="D289" s="103"/>
      <c r="E289" s="103"/>
      <c r="F289" s="103"/>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102"/>
      <c r="C290" s="103"/>
      <c r="D290" s="103"/>
      <c r="E290" s="103"/>
      <c r="F290" s="103"/>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102"/>
      <c r="C291" s="103"/>
      <c r="D291" s="103"/>
      <c r="E291" s="103"/>
      <c r="F291" s="103"/>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102"/>
      <c r="C292" s="103"/>
      <c r="D292" s="103"/>
      <c r="E292" s="103"/>
      <c r="F292" s="103"/>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102"/>
      <c r="C293" s="103"/>
      <c r="D293" s="103"/>
      <c r="E293" s="103"/>
      <c r="F293" s="103"/>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102"/>
      <c r="C294" s="103"/>
      <c r="D294" s="103"/>
      <c r="E294" s="103"/>
      <c r="F294" s="103"/>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102"/>
      <c r="C295" s="103"/>
      <c r="D295" s="103"/>
      <c r="E295" s="103"/>
      <c r="F295" s="103"/>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102"/>
      <c r="C296" s="103"/>
      <c r="D296" s="103"/>
      <c r="E296" s="103"/>
      <c r="F296" s="103"/>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102"/>
      <c r="C297" s="103"/>
      <c r="D297" s="103"/>
      <c r="E297" s="103"/>
      <c r="F297" s="103"/>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102"/>
      <c r="C298" s="103"/>
      <c r="D298" s="103"/>
      <c r="E298" s="103"/>
      <c r="F298" s="103"/>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102"/>
      <c r="C299" s="103"/>
      <c r="D299" s="103"/>
      <c r="E299" s="103"/>
      <c r="F299" s="103"/>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102"/>
      <c r="C300" s="103"/>
      <c r="D300" s="103"/>
      <c r="E300" s="103"/>
      <c r="F300" s="103"/>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102"/>
      <c r="C301" s="103"/>
      <c r="D301" s="103"/>
      <c r="E301" s="103"/>
      <c r="F301" s="103"/>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102"/>
      <c r="C302" s="103"/>
      <c r="D302" s="103"/>
      <c r="E302" s="103"/>
      <c r="F302" s="103"/>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102"/>
      <c r="C303" s="103"/>
      <c r="D303" s="103"/>
      <c r="E303" s="103"/>
      <c r="F303" s="103"/>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102"/>
      <c r="C304" s="103"/>
      <c r="D304" s="103"/>
      <c r="E304" s="103"/>
      <c r="F304" s="103"/>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102"/>
      <c r="C305" s="103"/>
      <c r="D305" s="103"/>
      <c r="E305" s="103"/>
      <c r="F305" s="103"/>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102"/>
      <c r="C306" s="103"/>
      <c r="D306" s="103"/>
      <c r="E306" s="103"/>
      <c r="F306" s="103"/>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102"/>
      <c r="C307" s="103"/>
      <c r="D307" s="103"/>
      <c r="E307" s="103"/>
      <c r="F307" s="103"/>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102"/>
      <c r="C308" s="103"/>
      <c r="D308" s="103"/>
      <c r="E308" s="103"/>
      <c r="F308" s="103"/>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102"/>
      <c r="C309" s="103"/>
      <c r="D309" s="103"/>
      <c r="E309" s="103"/>
      <c r="F309" s="103"/>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102"/>
      <c r="C310" s="103"/>
      <c r="D310" s="103"/>
      <c r="E310" s="103"/>
      <c r="F310" s="103"/>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102"/>
      <c r="C311" s="103"/>
      <c r="D311" s="103"/>
      <c r="E311" s="103"/>
      <c r="F311" s="103"/>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102"/>
      <c r="C312" s="103"/>
      <c r="D312" s="103"/>
      <c r="E312" s="103"/>
      <c r="F312" s="103"/>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102"/>
      <c r="C313" s="103"/>
      <c r="D313" s="103"/>
      <c r="E313" s="103"/>
      <c r="F313" s="103"/>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102"/>
      <c r="C314" s="103"/>
      <c r="D314" s="103"/>
      <c r="E314" s="103"/>
      <c r="F314" s="103"/>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102"/>
      <c r="C315" s="103"/>
      <c r="D315" s="103"/>
      <c r="E315" s="103"/>
      <c r="F315" s="103"/>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102"/>
      <c r="C316" s="103"/>
      <c r="D316" s="103"/>
      <c r="E316" s="103"/>
      <c r="F316" s="103"/>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102"/>
      <c r="C317" s="103"/>
      <c r="D317" s="103"/>
      <c r="E317" s="103"/>
      <c r="F317" s="103"/>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102"/>
      <c r="C318" s="103"/>
      <c r="D318" s="103"/>
      <c r="E318" s="103"/>
      <c r="F318" s="103"/>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102"/>
      <c r="C319" s="103"/>
      <c r="D319" s="103"/>
      <c r="E319" s="103"/>
      <c r="F319" s="103"/>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102"/>
      <c r="C320" s="103"/>
      <c r="D320" s="103"/>
      <c r="E320" s="103"/>
      <c r="F320" s="103"/>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102"/>
      <c r="C321" s="103"/>
      <c r="D321" s="103"/>
      <c r="E321" s="103"/>
      <c r="F321" s="103"/>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102"/>
      <c r="C322" s="103"/>
      <c r="D322" s="103"/>
      <c r="E322" s="103"/>
      <c r="F322" s="103"/>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102"/>
      <c r="C323" s="103"/>
      <c r="D323" s="103"/>
      <c r="E323" s="103"/>
      <c r="F323" s="103"/>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102"/>
      <c r="C324" s="103"/>
      <c r="D324" s="103"/>
      <c r="E324" s="103"/>
      <c r="F324" s="103"/>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102"/>
      <c r="C325" s="103"/>
      <c r="D325" s="103"/>
      <c r="E325" s="103"/>
      <c r="F325" s="103"/>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102"/>
      <c r="C326" s="103"/>
      <c r="D326" s="103"/>
      <c r="E326" s="103"/>
      <c r="F326" s="103"/>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102"/>
      <c r="C327" s="103"/>
      <c r="D327" s="103"/>
      <c r="E327" s="103"/>
      <c r="F327" s="103"/>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102"/>
      <c r="C328" s="103"/>
      <c r="D328" s="103"/>
      <c r="E328" s="103"/>
      <c r="F328" s="103"/>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102"/>
      <c r="C329" s="103"/>
      <c r="D329" s="103"/>
      <c r="E329" s="103"/>
      <c r="F329" s="103"/>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102"/>
      <c r="C330" s="103"/>
      <c r="D330" s="103"/>
      <c r="E330" s="103"/>
      <c r="F330" s="103"/>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102"/>
      <c r="C331" s="103"/>
      <c r="D331" s="103"/>
      <c r="E331" s="103"/>
      <c r="F331" s="103"/>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102"/>
      <c r="C332" s="103"/>
      <c r="D332" s="103"/>
      <c r="E332" s="103"/>
      <c r="F332" s="103"/>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102"/>
      <c r="C333" s="103"/>
      <c r="D333" s="103"/>
      <c r="E333" s="103"/>
      <c r="F333" s="103"/>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102"/>
      <c r="C334" s="103"/>
      <c r="D334" s="103"/>
      <c r="E334" s="103"/>
      <c r="F334" s="103"/>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102"/>
      <c r="C335" s="103"/>
      <c r="D335" s="103"/>
      <c r="E335" s="103"/>
      <c r="F335" s="103"/>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102"/>
      <c r="C336" s="103"/>
      <c r="D336" s="103"/>
      <c r="E336" s="103"/>
      <c r="F336" s="103"/>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102"/>
      <c r="C337" s="103"/>
      <c r="D337" s="103"/>
      <c r="E337" s="103"/>
      <c r="F337" s="103"/>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102"/>
      <c r="C338" s="103"/>
      <c r="D338" s="103"/>
      <c r="E338" s="103"/>
      <c r="F338" s="103"/>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102"/>
      <c r="C339" s="103"/>
      <c r="D339" s="103"/>
      <c r="E339" s="103"/>
      <c r="F339" s="103"/>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102"/>
      <c r="C340" s="103"/>
      <c r="D340" s="103"/>
      <c r="E340" s="103"/>
      <c r="F340" s="103"/>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102"/>
      <c r="C341" s="103"/>
      <c r="D341" s="103"/>
      <c r="E341" s="103"/>
      <c r="F341" s="103"/>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102"/>
      <c r="C342" s="103"/>
      <c r="D342" s="103"/>
      <c r="E342" s="103"/>
      <c r="F342" s="103"/>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102"/>
      <c r="C343" s="103"/>
      <c r="D343" s="103"/>
      <c r="E343" s="103"/>
      <c r="F343" s="103"/>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102"/>
      <c r="C344" s="103"/>
      <c r="D344" s="103"/>
      <c r="E344" s="103"/>
      <c r="F344" s="103"/>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102"/>
      <c r="C345" s="103"/>
      <c r="D345" s="103"/>
      <c r="E345" s="103"/>
      <c r="F345" s="103"/>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102"/>
      <c r="C346" s="103"/>
      <c r="D346" s="103"/>
      <c r="E346" s="103"/>
      <c r="F346" s="103"/>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102"/>
      <c r="C347" s="103"/>
      <c r="D347" s="103"/>
      <c r="E347" s="103"/>
      <c r="F347" s="103"/>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102"/>
      <c r="C348" s="103"/>
      <c r="D348" s="103"/>
      <c r="E348" s="103"/>
      <c r="F348" s="103"/>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102"/>
      <c r="C349" s="103"/>
      <c r="D349" s="103"/>
      <c r="E349" s="103"/>
      <c r="F349" s="103"/>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102"/>
      <c r="C350" s="103"/>
      <c r="D350" s="103"/>
      <c r="E350" s="103"/>
      <c r="F350" s="103"/>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102"/>
      <c r="C351" s="103"/>
      <c r="D351" s="103"/>
      <c r="E351" s="103"/>
      <c r="F351" s="103"/>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102"/>
      <c r="C352" s="103"/>
      <c r="D352" s="103"/>
      <c r="E352" s="103"/>
      <c r="F352" s="103"/>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102"/>
      <c r="C353" s="103"/>
      <c r="D353" s="103"/>
      <c r="E353" s="103"/>
      <c r="F353" s="103"/>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102"/>
      <c r="C354" s="103"/>
      <c r="D354" s="103"/>
      <c r="E354" s="103"/>
      <c r="F354" s="103"/>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102"/>
      <c r="C355" s="103"/>
      <c r="D355" s="103"/>
      <c r="E355" s="103"/>
      <c r="F355" s="103"/>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102"/>
      <c r="C356" s="103"/>
      <c r="D356" s="103"/>
      <c r="E356" s="103"/>
      <c r="F356" s="103"/>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102"/>
      <c r="C357" s="103"/>
      <c r="D357" s="103"/>
      <c r="E357" s="103"/>
      <c r="F357" s="103"/>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102"/>
      <c r="C358" s="103"/>
      <c r="D358" s="103"/>
      <c r="E358" s="103"/>
      <c r="F358" s="103"/>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102"/>
      <c r="C359" s="103"/>
      <c r="D359" s="103"/>
      <c r="E359" s="103"/>
      <c r="F359" s="103"/>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102"/>
      <c r="C360" s="103"/>
      <c r="D360" s="103"/>
      <c r="E360" s="103"/>
      <c r="F360" s="103"/>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102"/>
      <c r="C361" s="103"/>
      <c r="D361" s="103"/>
      <c r="E361" s="103"/>
      <c r="F361" s="103"/>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102"/>
      <c r="C362" s="103"/>
      <c r="D362" s="103"/>
      <c r="E362" s="103"/>
      <c r="F362" s="103"/>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102"/>
      <c r="C363" s="103"/>
      <c r="D363" s="103"/>
      <c r="E363" s="103"/>
      <c r="F363" s="103"/>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102"/>
      <c r="C364" s="103"/>
      <c r="D364" s="103"/>
      <c r="E364" s="103"/>
      <c r="F364" s="103"/>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102"/>
      <c r="C365" s="103"/>
      <c r="D365" s="103"/>
      <c r="E365" s="103"/>
      <c r="F365" s="103"/>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102"/>
      <c r="C366" s="103"/>
      <c r="D366" s="103"/>
      <c r="E366" s="103"/>
      <c r="F366" s="103"/>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102"/>
      <c r="C367" s="103"/>
      <c r="D367" s="103"/>
      <c r="E367" s="103"/>
      <c r="F367" s="103"/>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102"/>
      <c r="C368" s="103"/>
      <c r="D368" s="103"/>
      <c r="E368" s="103"/>
      <c r="F368" s="103"/>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102"/>
      <c r="C369" s="103"/>
      <c r="D369" s="103"/>
      <c r="E369" s="103"/>
      <c r="F369" s="103"/>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102"/>
      <c r="C370" s="103"/>
      <c r="D370" s="103"/>
      <c r="E370" s="103"/>
      <c r="F370" s="103"/>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102"/>
      <c r="C371" s="103"/>
      <c r="D371" s="103"/>
      <c r="E371" s="103"/>
      <c r="F371" s="103"/>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102"/>
      <c r="C372" s="103"/>
      <c r="D372" s="103"/>
      <c r="E372" s="103"/>
      <c r="F372" s="103"/>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102"/>
      <c r="C373" s="103"/>
      <c r="D373" s="103"/>
      <c r="E373" s="103"/>
      <c r="F373" s="103"/>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102"/>
      <c r="C374" s="103"/>
      <c r="D374" s="103"/>
      <c r="E374" s="103"/>
      <c r="F374" s="103"/>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102"/>
      <c r="C375" s="103"/>
      <c r="D375" s="103"/>
      <c r="E375" s="103"/>
      <c r="F375" s="103"/>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102"/>
      <c r="C376" s="103"/>
      <c r="D376" s="103"/>
      <c r="E376" s="103"/>
      <c r="F376" s="103"/>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102"/>
      <c r="C377" s="103"/>
      <c r="D377" s="103"/>
      <c r="E377" s="103"/>
      <c r="F377" s="103"/>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102"/>
      <c r="C378" s="103"/>
      <c r="D378" s="103"/>
      <c r="E378" s="103"/>
      <c r="F378" s="103"/>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102"/>
      <c r="C379" s="103"/>
      <c r="D379" s="103"/>
      <c r="E379" s="103"/>
      <c r="F379" s="103"/>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102"/>
      <c r="C380" s="103"/>
      <c r="D380" s="103"/>
      <c r="E380" s="103"/>
      <c r="F380" s="103"/>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102"/>
      <c r="C381" s="103"/>
      <c r="D381" s="103"/>
      <c r="E381" s="103"/>
      <c r="F381" s="103"/>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102"/>
      <c r="C382" s="103"/>
      <c r="D382" s="103"/>
      <c r="E382" s="103"/>
      <c r="F382" s="103"/>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102"/>
      <c r="C383" s="103"/>
      <c r="D383" s="103"/>
      <c r="E383" s="103"/>
      <c r="F383" s="103"/>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102"/>
      <c r="C384" s="103"/>
      <c r="D384" s="103"/>
      <c r="E384" s="103"/>
      <c r="F384" s="103"/>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102"/>
      <c r="C385" s="103"/>
      <c r="D385" s="103"/>
      <c r="E385" s="103"/>
      <c r="F385" s="103"/>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102"/>
      <c r="C386" s="103"/>
      <c r="D386" s="103"/>
      <c r="E386" s="103"/>
      <c r="F386" s="103"/>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102"/>
      <c r="C387" s="103"/>
      <c r="D387" s="103"/>
      <c r="E387" s="103"/>
      <c r="F387" s="103"/>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102"/>
      <c r="C388" s="103"/>
      <c r="D388" s="103"/>
      <c r="E388" s="103"/>
      <c r="F388" s="103"/>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102"/>
      <c r="C389" s="103"/>
      <c r="D389" s="103"/>
      <c r="E389" s="103"/>
      <c r="F389" s="103"/>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102"/>
      <c r="C390" s="103"/>
      <c r="D390" s="103"/>
      <c r="E390" s="103"/>
      <c r="F390" s="103"/>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102"/>
      <c r="C391" s="103"/>
      <c r="D391" s="103"/>
      <c r="E391" s="103"/>
      <c r="F391" s="103"/>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102"/>
      <c r="C392" s="103"/>
      <c r="D392" s="103"/>
      <c r="E392" s="103"/>
      <c r="F392" s="103"/>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102"/>
      <c r="C393" s="103"/>
      <c r="D393" s="103"/>
      <c r="E393" s="103"/>
      <c r="F393" s="103"/>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102"/>
      <c r="C394" s="103"/>
      <c r="D394" s="103"/>
      <c r="E394" s="103"/>
      <c r="F394" s="103"/>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102"/>
      <c r="C395" s="103"/>
      <c r="D395" s="103"/>
      <c r="E395" s="103"/>
      <c r="F395" s="103"/>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102"/>
      <c r="C396" s="103"/>
      <c r="D396" s="103"/>
      <c r="E396" s="103"/>
      <c r="F396" s="103"/>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102"/>
      <c r="C397" s="103"/>
      <c r="D397" s="103"/>
      <c r="E397" s="103"/>
      <c r="F397" s="103"/>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102"/>
      <c r="C398" s="103"/>
      <c r="D398" s="103"/>
      <c r="E398" s="103"/>
      <c r="F398" s="103"/>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102"/>
      <c r="C399" s="103"/>
      <c r="D399" s="103"/>
      <c r="E399" s="103"/>
      <c r="F399" s="103"/>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102"/>
      <c r="C400" s="103"/>
      <c r="D400" s="103"/>
      <c r="E400" s="103"/>
      <c r="F400" s="103"/>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102"/>
      <c r="C401" s="103"/>
      <c r="D401" s="103"/>
      <c r="E401" s="103"/>
      <c r="F401" s="103"/>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102"/>
      <c r="C402" s="103"/>
      <c r="D402" s="103"/>
      <c r="E402" s="103"/>
      <c r="F402" s="103"/>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102"/>
      <c r="C403" s="103"/>
      <c r="D403" s="103"/>
      <c r="E403" s="103"/>
      <c r="F403" s="103"/>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102"/>
      <c r="C404" s="103"/>
      <c r="D404" s="103"/>
      <c r="E404" s="103"/>
      <c r="F404" s="103"/>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102"/>
      <c r="C405" s="103"/>
      <c r="D405" s="103"/>
      <c r="E405" s="103"/>
      <c r="F405" s="103"/>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102"/>
      <c r="C406" s="103"/>
      <c r="D406" s="103"/>
      <c r="E406" s="103"/>
      <c r="F406" s="103"/>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102"/>
      <c r="C407" s="103"/>
      <c r="D407" s="103"/>
      <c r="E407" s="103"/>
      <c r="F407" s="103"/>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102"/>
      <c r="C408" s="103"/>
      <c r="D408" s="103"/>
      <c r="E408" s="103"/>
      <c r="F408" s="103"/>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102"/>
      <c r="C409" s="103"/>
      <c r="D409" s="103"/>
      <c r="E409" s="103"/>
      <c r="F409" s="103"/>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102"/>
      <c r="C410" s="103"/>
      <c r="D410" s="103"/>
      <c r="E410" s="103"/>
      <c r="F410" s="103"/>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102"/>
      <c r="C411" s="103"/>
      <c r="D411" s="103"/>
      <c r="E411" s="103"/>
      <c r="F411" s="103"/>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102"/>
      <c r="C412" s="103"/>
      <c r="D412" s="103"/>
      <c r="E412" s="103"/>
      <c r="F412" s="103"/>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102"/>
      <c r="C413" s="103"/>
      <c r="D413" s="103"/>
      <c r="E413" s="103"/>
      <c r="F413" s="103"/>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102"/>
      <c r="C414" s="103"/>
      <c r="D414" s="103"/>
      <c r="E414" s="103"/>
      <c r="F414" s="103"/>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102"/>
      <c r="C415" s="103"/>
      <c r="D415" s="103"/>
      <c r="E415" s="103"/>
      <c r="F415" s="103"/>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102"/>
      <c r="C416" s="103"/>
      <c r="D416" s="103"/>
      <c r="E416" s="103"/>
      <c r="F416" s="103"/>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102"/>
      <c r="C417" s="103"/>
      <c r="D417" s="103"/>
      <c r="E417" s="103"/>
      <c r="F417" s="103"/>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102"/>
      <c r="C418" s="103"/>
      <c r="D418" s="103"/>
      <c r="E418" s="103"/>
      <c r="F418" s="103"/>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102"/>
      <c r="C419" s="103"/>
      <c r="D419" s="103"/>
      <c r="E419" s="103"/>
      <c r="F419" s="103"/>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102"/>
      <c r="C420" s="103"/>
      <c r="D420" s="103"/>
      <c r="E420" s="103"/>
      <c r="F420" s="103"/>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102"/>
      <c r="C421" s="103"/>
      <c r="D421" s="103"/>
      <c r="E421" s="103"/>
      <c r="F421" s="103"/>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102"/>
      <c r="C422" s="103"/>
      <c r="D422" s="103"/>
      <c r="E422" s="103"/>
      <c r="F422" s="103"/>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102"/>
      <c r="C423" s="103"/>
      <c r="D423" s="103"/>
      <c r="E423" s="103"/>
      <c r="F423" s="103"/>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102"/>
      <c r="C424" s="103"/>
      <c r="D424" s="103"/>
      <c r="E424" s="103"/>
      <c r="F424" s="103"/>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102"/>
      <c r="C425" s="103"/>
      <c r="D425" s="103"/>
      <c r="E425" s="103"/>
      <c r="F425" s="103"/>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102"/>
      <c r="C426" s="103"/>
      <c r="D426" s="103"/>
      <c r="E426" s="103"/>
      <c r="F426" s="103"/>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102"/>
      <c r="C427" s="103"/>
      <c r="D427" s="103"/>
      <c r="E427" s="103"/>
      <c r="F427" s="103"/>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102"/>
      <c r="C428" s="103"/>
      <c r="D428" s="103"/>
      <c r="E428" s="103"/>
      <c r="F428" s="103"/>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102"/>
      <c r="C429" s="103"/>
      <c r="D429" s="103"/>
      <c r="E429" s="103"/>
      <c r="F429" s="103"/>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102"/>
      <c r="C430" s="103"/>
      <c r="D430" s="103"/>
      <c r="E430" s="103"/>
      <c r="F430" s="103"/>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102"/>
      <c r="C431" s="103"/>
      <c r="D431" s="103"/>
      <c r="E431" s="103"/>
      <c r="F431" s="103"/>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102"/>
      <c r="C432" s="103"/>
      <c r="D432" s="103"/>
      <c r="E432" s="103"/>
      <c r="F432" s="103"/>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102"/>
      <c r="C433" s="103"/>
      <c r="D433" s="103"/>
      <c r="E433" s="103"/>
      <c r="F433" s="103"/>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102"/>
      <c r="C434" s="103"/>
      <c r="D434" s="103"/>
      <c r="E434" s="103"/>
      <c r="F434" s="103"/>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102"/>
      <c r="C435" s="103"/>
      <c r="D435" s="103"/>
      <c r="E435" s="103"/>
      <c r="F435" s="103"/>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102"/>
      <c r="C436" s="103"/>
      <c r="D436" s="103"/>
      <c r="E436" s="103"/>
      <c r="F436" s="103"/>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102"/>
      <c r="C437" s="103"/>
      <c r="D437" s="103"/>
      <c r="E437" s="103"/>
      <c r="F437" s="103"/>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102"/>
      <c r="C438" s="103"/>
      <c r="D438" s="103"/>
      <c r="E438" s="103"/>
      <c r="F438" s="103"/>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102"/>
      <c r="C439" s="103"/>
      <c r="D439" s="103"/>
      <c r="E439" s="103"/>
      <c r="F439" s="103"/>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102"/>
      <c r="C440" s="103"/>
      <c r="D440" s="103"/>
      <c r="E440" s="103"/>
      <c r="F440" s="103"/>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102"/>
      <c r="C441" s="103"/>
      <c r="D441" s="103"/>
      <c r="E441" s="103"/>
      <c r="F441" s="103"/>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102"/>
      <c r="C442" s="103"/>
      <c r="D442" s="103"/>
      <c r="E442" s="103"/>
      <c r="F442" s="103"/>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102"/>
      <c r="C443" s="103"/>
      <c r="D443" s="103"/>
      <c r="E443" s="103"/>
      <c r="F443" s="103"/>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102"/>
      <c r="C444" s="103"/>
      <c r="D444" s="103"/>
      <c r="E444" s="103"/>
      <c r="F444" s="103"/>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102"/>
      <c r="C445" s="103"/>
      <c r="D445" s="103"/>
      <c r="E445" s="103"/>
      <c r="F445" s="103"/>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102"/>
      <c r="C446" s="103"/>
      <c r="D446" s="103"/>
      <c r="E446" s="103"/>
      <c r="F446" s="103"/>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102"/>
      <c r="C447" s="103"/>
      <c r="D447" s="103"/>
      <c r="E447" s="103"/>
      <c r="F447" s="103"/>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102"/>
      <c r="C448" s="103"/>
      <c r="D448" s="103"/>
      <c r="E448" s="103"/>
      <c r="F448" s="103"/>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102"/>
      <c r="C449" s="103"/>
      <c r="D449" s="103"/>
      <c r="E449" s="103"/>
      <c r="F449" s="103"/>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102"/>
      <c r="C450" s="103"/>
      <c r="D450" s="103"/>
      <c r="E450" s="103"/>
      <c r="F450" s="103"/>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102"/>
      <c r="C451" s="103"/>
      <c r="D451" s="103"/>
      <c r="E451" s="103"/>
      <c r="F451" s="103"/>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102"/>
      <c r="C452" s="103"/>
      <c r="D452" s="103"/>
      <c r="E452" s="103"/>
      <c r="F452" s="103"/>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102"/>
      <c r="C453" s="103"/>
      <c r="D453" s="103"/>
      <c r="E453" s="103"/>
      <c r="F453" s="103"/>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102"/>
      <c r="C454" s="103"/>
      <c r="D454" s="103"/>
      <c r="E454" s="103"/>
      <c r="F454" s="103"/>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102"/>
      <c r="C455" s="103"/>
      <c r="D455" s="103"/>
      <c r="E455" s="103"/>
      <c r="F455" s="103"/>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102"/>
      <c r="C456" s="103"/>
      <c r="D456" s="103"/>
      <c r="E456" s="103"/>
      <c r="F456" s="103"/>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102"/>
      <c r="C457" s="103"/>
      <c r="D457" s="103"/>
      <c r="E457" s="103"/>
      <c r="F457" s="103"/>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102"/>
      <c r="C458" s="103"/>
      <c r="D458" s="103"/>
      <c r="E458" s="103"/>
      <c r="F458" s="103"/>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102"/>
      <c r="C459" s="103"/>
      <c r="D459" s="103"/>
      <c r="E459" s="103"/>
      <c r="F459" s="103"/>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102"/>
      <c r="C460" s="103"/>
      <c r="D460" s="103"/>
      <c r="E460" s="103"/>
      <c r="F460" s="103"/>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102"/>
      <c r="C461" s="103"/>
      <c r="D461" s="103"/>
      <c r="E461" s="103"/>
      <c r="F461" s="103"/>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102"/>
      <c r="C462" s="103"/>
      <c r="D462" s="103"/>
      <c r="E462" s="103"/>
      <c r="F462" s="103"/>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102"/>
      <c r="C463" s="103"/>
      <c r="D463" s="103"/>
      <c r="E463" s="103"/>
      <c r="F463" s="103"/>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102"/>
      <c r="C464" s="103"/>
      <c r="D464" s="103"/>
      <c r="E464" s="103"/>
      <c r="F464" s="103"/>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102"/>
      <c r="C465" s="103"/>
      <c r="D465" s="103"/>
      <c r="E465" s="103"/>
      <c r="F465" s="103"/>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102"/>
      <c r="C466" s="103"/>
      <c r="D466" s="103"/>
      <c r="E466" s="103"/>
      <c r="F466" s="103"/>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102"/>
      <c r="C467" s="103"/>
      <c r="D467" s="103"/>
      <c r="E467" s="103"/>
      <c r="F467" s="103"/>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102"/>
      <c r="C468" s="103"/>
      <c r="D468" s="103"/>
      <c r="E468" s="103"/>
      <c r="F468" s="103"/>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102"/>
      <c r="C469" s="103"/>
      <c r="D469" s="103"/>
      <c r="E469" s="103"/>
      <c r="F469" s="103"/>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102"/>
      <c r="C470" s="103"/>
      <c r="D470" s="103"/>
      <c r="E470" s="103"/>
      <c r="F470" s="103"/>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102"/>
      <c r="C471" s="103"/>
      <c r="D471" s="103"/>
      <c r="E471" s="103"/>
      <c r="F471" s="103"/>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102"/>
      <c r="C472" s="103"/>
      <c r="D472" s="103"/>
      <c r="E472" s="103"/>
      <c r="F472" s="103"/>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102"/>
      <c r="C473" s="103"/>
      <c r="D473" s="103"/>
      <c r="E473" s="103"/>
      <c r="F473" s="103"/>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102"/>
      <c r="C474" s="103"/>
      <c r="D474" s="103"/>
      <c r="E474" s="103"/>
      <c r="F474" s="103"/>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102"/>
      <c r="C475" s="103"/>
      <c r="D475" s="103"/>
      <c r="E475" s="103"/>
      <c r="F475" s="103"/>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102"/>
      <c r="C476" s="103"/>
      <c r="D476" s="103"/>
      <c r="E476" s="103"/>
      <c r="F476" s="103"/>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102"/>
      <c r="C477" s="103"/>
      <c r="D477" s="103"/>
      <c r="E477" s="103"/>
      <c r="F477" s="103"/>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102"/>
      <c r="C478" s="103"/>
      <c r="D478" s="103"/>
      <c r="E478" s="103"/>
      <c r="F478" s="103"/>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102"/>
      <c r="C479" s="103"/>
      <c r="D479" s="103"/>
      <c r="E479" s="103"/>
      <c r="F479" s="103"/>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102"/>
      <c r="C480" s="103"/>
      <c r="D480" s="103"/>
      <c r="E480" s="103"/>
      <c r="F480" s="103"/>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102"/>
      <c r="C481" s="103"/>
      <c r="D481" s="103"/>
      <c r="E481" s="103"/>
      <c r="F481" s="103"/>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102"/>
      <c r="C482" s="103"/>
      <c r="D482" s="103"/>
      <c r="E482" s="103"/>
      <c r="F482" s="103"/>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102"/>
      <c r="C483" s="103"/>
      <c r="D483" s="103"/>
      <c r="E483" s="103"/>
      <c r="F483" s="103"/>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102"/>
      <c r="C484" s="103"/>
      <c r="D484" s="103"/>
      <c r="E484" s="103"/>
      <c r="F484" s="103"/>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102"/>
      <c r="C485" s="103"/>
      <c r="D485" s="103"/>
      <c r="E485" s="103"/>
      <c r="F485" s="103"/>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102"/>
      <c r="C486" s="103"/>
      <c r="D486" s="103"/>
      <c r="E486" s="103"/>
      <c r="F486" s="103"/>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102"/>
      <c r="C487" s="103"/>
      <c r="D487" s="103"/>
      <c r="E487" s="103"/>
      <c r="F487" s="103"/>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102"/>
      <c r="C488" s="103"/>
      <c r="D488" s="103"/>
      <c r="E488" s="103"/>
      <c r="F488" s="103"/>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102"/>
      <c r="C489" s="103"/>
      <c r="D489" s="103"/>
      <c r="E489" s="103"/>
      <c r="F489" s="103"/>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102"/>
      <c r="C490" s="103"/>
      <c r="D490" s="103"/>
      <c r="E490" s="103"/>
      <c r="F490" s="103"/>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102"/>
      <c r="C491" s="103"/>
      <c r="D491" s="103"/>
      <c r="E491" s="103"/>
      <c r="F491" s="103"/>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102"/>
      <c r="C492" s="103"/>
      <c r="D492" s="103"/>
      <c r="E492" s="103"/>
      <c r="F492" s="103"/>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102"/>
      <c r="C493" s="103"/>
      <c r="D493" s="103"/>
      <c r="E493" s="103"/>
      <c r="F493" s="103"/>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102"/>
      <c r="C494" s="103"/>
      <c r="D494" s="103"/>
      <c r="E494" s="103"/>
      <c r="F494" s="103"/>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102"/>
      <c r="C495" s="103"/>
      <c r="D495" s="103"/>
      <c r="E495" s="103"/>
      <c r="F495" s="103"/>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102"/>
      <c r="C496" s="103"/>
      <c r="D496" s="103"/>
      <c r="E496" s="103"/>
      <c r="F496" s="103"/>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102"/>
      <c r="C497" s="103"/>
      <c r="D497" s="103"/>
      <c r="E497" s="103"/>
      <c r="F497" s="103"/>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102"/>
      <c r="C498" s="103"/>
      <c r="D498" s="103"/>
      <c r="E498" s="103"/>
      <c r="F498" s="103"/>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102"/>
      <c r="C499" s="103"/>
      <c r="D499" s="103"/>
      <c r="E499" s="103"/>
      <c r="F499" s="103"/>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102"/>
      <c r="C500" s="103"/>
      <c r="D500" s="103"/>
      <c r="E500" s="103"/>
      <c r="F500" s="103"/>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102"/>
      <c r="C501" s="103"/>
      <c r="D501" s="103"/>
      <c r="E501" s="103"/>
      <c r="F501" s="103"/>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102"/>
      <c r="C502" s="103"/>
      <c r="D502" s="103"/>
      <c r="E502" s="103"/>
      <c r="F502" s="103"/>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102"/>
      <c r="C503" s="103"/>
      <c r="D503" s="103"/>
      <c r="E503" s="103"/>
      <c r="F503" s="103"/>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102"/>
      <c r="C504" s="103"/>
      <c r="D504" s="103"/>
      <c r="E504" s="103"/>
      <c r="F504" s="103"/>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102"/>
      <c r="C505" s="103"/>
      <c r="D505" s="103"/>
      <c r="E505" s="103"/>
      <c r="F505" s="103"/>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102"/>
      <c r="C506" s="103"/>
      <c r="D506" s="103"/>
      <c r="E506" s="103"/>
      <c r="F506" s="103"/>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102"/>
      <c r="C507" s="103"/>
      <c r="D507" s="103"/>
      <c r="E507" s="103"/>
      <c r="F507" s="103"/>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102"/>
      <c r="C508" s="103"/>
      <c r="D508" s="103"/>
      <c r="E508" s="103"/>
      <c r="F508" s="103"/>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102"/>
      <c r="C509" s="103"/>
      <c r="D509" s="103"/>
      <c r="E509" s="103"/>
      <c r="F509" s="103"/>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102"/>
      <c r="C510" s="103"/>
      <c r="D510" s="103"/>
      <c r="E510" s="103"/>
      <c r="F510" s="103"/>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102"/>
      <c r="C511" s="103"/>
      <c r="D511" s="103"/>
      <c r="E511" s="103"/>
      <c r="F511" s="103"/>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102"/>
      <c r="C512" s="103"/>
      <c r="D512" s="103"/>
      <c r="E512" s="103"/>
      <c r="F512" s="103"/>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102"/>
      <c r="C513" s="103"/>
      <c r="D513" s="103"/>
      <c r="E513" s="103"/>
      <c r="F513" s="103"/>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102"/>
      <c r="C514" s="103"/>
      <c r="D514" s="103"/>
      <c r="E514" s="103"/>
      <c r="F514" s="103"/>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102"/>
      <c r="C515" s="103"/>
      <c r="D515" s="103"/>
      <c r="E515" s="103"/>
      <c r="F515" s="103"/>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102"/>
      <c r="C516" s="103"/>
      <c r="D516" s="103"/>
      <c r="E516" s="103"/>
      <c r="F516" s="103"/>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102"/>
      <c r="C517" s="103"/>
      <c r="D517" s="103"/>
      <c r="E517" s="103"/>
      <c r="F517" s="103"/>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102"/>
      <c r="C518" s="103"/>
      <c r="D518" s="103"/>
      <c r="E518" s="103"/>
      <c r="F518" s="103"/>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102"/>
      <c r="C519" s="103"/>
      <c r="D519" s="103"/>
      <c r="E519" s="103"/>
      <c r="F519" s="103"/>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102"/>
      <c r="C520" s="103"/>
      <c r="D520" s="103"/>
      <c r="E520" s="103"/>
      <c r="F520" s="103"/>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102"/>
      <c r="C521" s="103"/>
      <c r="D521" s="103"/>
      <c r="E521" s="103"/>
      <c r="F521" s="103"/>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102"/>
      <c r="C522" s="103"/>
      <c r="D522" s="103"/>
      <c r="E522" s="103"/>
      <c r="F522" s="103"/>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102"/>
      <c r="C523" s="103"/>
      <c r="D523" s="103"/>
      <c r="E523" s="103"/>
      <c r="F523" s="103"/>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102"/>
      <c r="C524" s="103"/>
      <c r="D524" s="103"/>
      <c r="E524" s="103"/>
      <c r="F524" s="103"/>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102"/>
      <c r="C525" s="103"/>
      <c r="D525" s="103"/>
      <c r="E525" s="103"/>
      <c r="F525" s="103"/>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102"/>
      <c r="C526" s="103"/>
      <c r="D526" s="103"/>
      <c r="E526" s="103"/>
      <c r="F526" s="103"/>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102"/>
      <c r="C527" s="103"/>
      <c r="D527" s="103"/>
      <c r="E527" s="103"/>
      <c r="F527" s="103"/>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102"/>
      <c r="C528" s="103"/>
      <c r="D528" s="103"/>
      <c r="E528" s="103"/>
      <c r="F528" s="103"/>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102"/>
      <c r="C529" s="103"/>
      <c r="D529" s="103"/>
      <c r="E529" s="103"/>
      <c r="F529" s="103"/>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102"/>
      <c r="C530" s="103"/>
      <c r="D530" s="103"/>
      <c r="E530" s="103"/>
      <c r="F530" s="103"/>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102"/>
      <c r="C531" s="103"/>
      <c r="D531" s="103"/>
      <c r="E531" s="103"/>
      <c r="F531" s="103"/>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102"/>
      <c r="C532" s="103"/>
      <c r="D532" s="103"/>
      <c r="E532" s="103"/>
      <c r="F532" s="103"/>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102"/>
      <c r="C533" s="103"/>
      <c r="D533" s="103"/>
      <c r="E533" s="103"/>
      <c r="F533" s="103"/>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102"/>
      <c r="C534" s="103"/>
      <c r="D534" s="103"/>
      <c r="E534" s="103"/>
      <c r="F534" s="103"/>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102"/>
      <c r="C535" s="103"/>
      <c r="D535" s="103"/>
      <c r="E535" s="103"/>
      <c r="F535" s="103"/>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102"/>
      <c r="C536" s="103"/>
      <c r="D536" s="103"/>
      <c r="E536" s="103"/>
      <c r="F536" s="103"/>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102"/>
      <c r="C537" s="103"/>
      <c r="D537" s="103"/>
      <c r="E537" s="103"/>
      <c r="F537" s="103"/>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102"/>
      <c r="C538" s="103"/>
      <c r="D538" s="103"/>
      <c r="E538" s="103"/>
      <c r="F538" s="103"/>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102"/>
      <c r="C539" s="103"/>
      <c r="D539" s="103"/>
      <c r="E539" s="103"/>
      <c r="F539" s="103"/>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102"/>
      <c r="C540" s="103"/>
      <c r="D540" s="103"/>
      <c r="E540" s="103"/>
      <c r="F540" s="103"/>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102"/>
      <c r="C541" s="103"/>
      <c r="D541" s="103"/>
      <c r="E541" s="103"/>
      <c r="F541" s="103"/>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102"/>
      <c r="C542" s="103"/>
      <c r="D542" s="103"/>
      <c r="E542" s="103"/>
      <c r="F542" s="103"/>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102"/>
      <c r="C543" s="103"/>
      <c r="D543" s="103"/>
      <c r="E543" s="103"/>
      <c r="F543" s="103"/>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102"/>
      <c r="C544" s="103"/>
      <c r="D544" s="103"/>
      <c r="E544" s="103"/>
      <c r="F544" s="103"/>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102"/>
      <c r="C545" s="103"/>
      <c r="D545" s="103"/>
      <c r="E545" s="103"/>
      <c r="F545" s="103"/>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102"/>
      <c r="C546" s="103"/>
      <c r="D546" s="103"/>
      <c r="E546" s="103"/>
      <c r="F546" s="103"/>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102"/>
      <c r="C547" s="103"/>
      <c r="D547" s="103"/>
      <c r="E547" s="103"/>
      <c r="F547" s="103"/>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102"/>
      <c r="C548" s="103"/>
      <c r="D548" s="103"/>
      <c r="E548" s="103"/>
      <c r="F548" s="103"/>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102"/>
      <c r="C549" s="103"/>
      <c r="D549" s="103"/>
      <c r="E549" s="103"/>
      <c r="F549" s="103"/>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102"/>
      <c r="C550" s="103"/>
      <c r="D550" s="103"/>
      <c r="E550" s="103"/>
      <c r="F550" s="103"/>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102"/>
      <c r="C551" s="103"/>
      <c r="D551" s="103"/>
      <c r="E551" s="103"/>
      <c r="F551" s="103"/>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102"/>
      <c r="C552" s="103"/>
      <c r="D552" s="103"/>
      <c r="E552" s="103"/>
      <c r="F552" s="103"/>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102"/>
      <c r="C553" s="103"/>
      <c r="D553" s="103"/>
      <c r="E553" s="103"/>
      <c r="F553" s="103"/>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102"/>
      <c r="C554" s="103"/>
      <c r="D554" s="103"/>
      <c r="E554" s="103"/>
      <c r="F554" s="103"/>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102"/>
      <c r="C555" s="103"/>
      <c r="D555" s="103"/>
      <c r="E555" s="103"/>
      <c r="F555" s="103"/>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102"/>
      <c r="C556" s="103"/>
      <c r="D556" s="103"/>
      <c r="E556" s="103"/>
      <c r="F556" s="103"/>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102"/>
      <c r="C557" s="103"/>
      <c r="D557" s="103"/>
      <c r="E557" s="103"/>
      <c r="F557" s="103"/>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102"/>
      <c r="C558" s="103"/>
      <c r="D558" s="103"/>
      <c r="E558" s="103"/>
      <c r="F558" s="103"/>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102"/>
      <c r="C559" s="103"/>
      <c r="D559" s="103"/>
      <c r="E559" s="103"/>
      <c r="F559" s="103"/>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102"/>
      <c r="C560" s="103"/>
      <c r="D560" s="103"/>
      <c r="E560" s="103"/>
      <c r="F560" s="103"/>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102"/>
      <c r="C561" s="103"/>
      <c r="D561" s="103"/>
      <c r="E561" s="103"/>
      <c r="F561" s="103"/>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102"/>
      <c r="C562" s="103"/>
      <c r="D562" s="103"/>
      <c r="E562" s="103"/>
      <c r="F562" s="103"/>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102"/>
      <c r="C563" s="103"/>
      <c r="D563" s="103"/>
      <c r="E563" s="103"/>
      <c r="F563" s="103"/>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102"/>
      <c r="C564" s="103"/>
      <c r="D564" s="103"/>
      <c r="E564" s="103"/>
      <c r="F564" s="103"/>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102"/>
      <c r="C565" s="103"/>
      <c r="D565" s="103"/>
      <c r="E565" s="103"/>
      <c r="F565" s="103"/>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102"/>
      <c r="C566" s="103"/>
      <c r="D566" s="103"/>
      <c r="E566" s="103"/>
      <c r="F566" s="103"/>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102"/>
      <c r="C567" s="103"/>
      <c r="D567" s="103"/>
      <c r="E567" s="103"/>
      <c r="F567" s="103"/>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102"/>
      <c r="C568" s="103"/>
      <c r="D568" s="103"/>
      <c r="E568" s="103"/>
      <c r="F568" s="103"/>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102"/>
      <c r="C569" s="103"/>
      <c r="D569" s="103"/>
      <c r="E569" s="103"/>
      <c r="F569" s="103"/>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102"/>
      <c r="C570" s="103"/>
      <c r="D570" s="103"/>
      <c r="E570" s="103"/>
      <c r="F570" s="103"/>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102"/>
      <c r="C571" s="103"/>
      <c r="D571" s="103"/>
      <c r="E571" s="103"/>
      <c r="F571" s="103"/>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102"/>
      <c r="C572" s="103"/>
      <c r="D572" s="103"/>
      <c r="E572" s="103"/>
      <c r="F572" s="103"/>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102"/>
      <c r="C573" s="103"/>
      <c r="D573" s="103"/>
      <c r="E573" s="103"/>
      <c r="F573" s="103"/>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102"/>
      <c r="C574" s="103"/>
      <c r="D574" s="103"/>
      <c r="E574" s="103"/>
      <c r="F574" s="103"/>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102"/>
      <c r="C575" s="103"/>
      <c r="D575" s="103"/>
      <c r="E575" s="103"/>
      <c r="F575" s="103"/>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102"/>
      <c r="C576" s="103"/>
      <c r="D576" s="103"/>
      <c r="E576" s="103"/>
      <c r="F576" s="103"/>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102"/>
      <c r="C577" s="103"/>
      <c r="D577" s="103"/>
      <c r="E577" s="103"/>
      <c r="F577" s="103"/>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102"/>
      <c r="C578" s="103"/>
      <c r="D578" s="103"/>
      <c r="E578" s="103"/>
      <c r="F578" s="103"/>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102"/>
      <c r="C579" s="103"/>
      <c r="D579" s="103"/>
      <c r="E579" s="103"/>
      <c r="F579" s="103"/>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102"/>
      <c r="C580" s="103"/>
      <c r="D580" s="103"/>
      <c r="E580" s="103"/>
      <c r="F580" s="103"/>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102"/>
      <c r="C581" s="103"/>
      <c r="D581" s="103"/>
      <c r="E581" s="103"/>
      <c r="F581" s="103"/>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102"/>
      <c r="C582" s="103"/>
      <c r="D582" s="103"/>
      <c r="E582" s="103"/>
      <c r="F582" s="103"/>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102"/>
      <c r="C583" s="103"/>
      <c r="D583" s="103"/>
      <c r="E583" s="103"/>
      <c r="F583" s="103"/>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102"/>
      <c r="C584" s="103"/>
      <c r="D584" s="103"/>
      <c r="E584" s="103"/>
      <c r="F584" s="103"/>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102"/>
      <c r="C585" s="103"/>
      <c r="D585" s="103"/>
      <c r="E585" s="103"/>
      <c r="F585" s="103"/>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102"/>
      <c r="C586" s="103"/>
      <c r="D586" s="103"/>
      <c r="E586" s="103"/>
      <c r="F586" s="103"/>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102"/>
      <c r="C587" s="103"/>
      <c r="D587" s="103"/>
      <c r="E587" s="103"/>
      <c r="F587" s="103"/>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102"/>
      <c r="C588" s="103"/>
      <c r="D588" s="103"/>
      <c r="E588" s="103"/>
      <c r="F588" s="103"/>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102"/>
      <c r="C589" s="103"/>
      <c r="D589" s="103"/>
      <c r="E589" s="103"/>
      <c r="F589" s="103"/>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102"/>
      <c r="C590" s="103"/>
      <c r="D590" s="103"/>
      <c r="E590" s="103"/>
      <c r="F590" s="103"/>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102"/>
      <c r="C591" s="103"/>
      <c r="D591" s="103"/>
      <c r="E591" s="103"/>
      <c r="F591" s="103"/>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102"/>
      <c r="C592" s="103"/>
      <c r="D592" s="103"/>
      <c r="E592" s="103"/>
      <c r="F592" s="103"/>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102"/>
      <c r="C593" s="103"/>
      <c r="D593" s="103"/>
      <c r="E593" s="103"/>
      <c r="F593" s="103"/>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102"/>
      <c r="C594" s="103"/>
      <c r="D594" s="103"/>
      <c r="E594" s="103"/>
      <c r="F594" s="103"/>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102"/>
      <c r="C595" s="103"/>
      <c r="D595" s="103"/>
      <c r="E595" s="103"/>
      <c r="F595" s="103"/>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102"/>
      <c r="C596" s="103"/>
      <c r="D596" s="103"/>
      <c r="E596" s="103"/>
      <c r="F596" s="103"/>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102"/>
      <c r="C597" s="103"/>
      <c r="D597" s="103"/>
      <c r="E597" s="103"/>
      <c r="F597" s="103"/>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102"/>
      <c r="C598" s="103"/>
      <c r="D598" s="103"/>
      <c r="E598" s="103"/>
      <c r="F598" s="103"/>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102"/>
      <c r="C599" s="103"/>
      <c r="D599" s="103"/>
      <c r="E599" s="103"/>
      <c r="F599" s="103"/>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102"/>
      <c r="C600" s="103"/>
      <c r="D600" s="103"/>
      <c r="E600" s="103"/>
      <c r="F600" s="103"/>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102"/>
      <c r="C601" s="103"/>
      <c r="D601" s="103"/>
      <c r="E601" s="103"/>
      <c r="F601" s="103"/>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102"/>
      <c r="C602" s="103"/>
      <c r="D602" s="103"/>
      <c r="E602" s="103"/>
      <c r="F602" s="103"/>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102"/>
      <c r="C603" s="103"/>
      <c r="D603" s="103"/>
      <c r="E603" s="103"/>
      <c r="F603" s="103"/>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102"/>
      <c r="C604" s="103"/>
      <c r="D604" s="103"/>
      <c r="E604" s="103"/>
      <c r="F604" s="103"/>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102"/>
      <c r="C605" s="103"/>
      <c r="D605" s="103"/>
      <c r="E605" s="103"/>
      <c r="F605" s="103"/>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102"/>
      <c r="C606" s="103"/>
      <c r="D606" s="103"/>
      <c r="E606" s="103"/>
      <c r="F606" s="103"/>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102"/>
      <c r="C607" s="103"/>
      <c r="D607" s="103"/>
      <c r="E607" s="103"/>
      <c r="F607" s="103"/>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102"/>
      <c r="C608" s="103"/>
      <c r="D608" s="103"/>
      <c r="E608" s="103"/>
      <c r="F608" s="103"/>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102"/>
      <c r="C609" s="103"/>
      <c r="D609" s="103"/>
      <c r="E609" s="103"/>
      <c r="F609" s="103"/>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102"/>
      <c r="C610" s="103"/>
      <c r="D610" s="103"/>
      <c r="E610" s="103"/>
      <c r="F610" s="103"/>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102"/>
      <c r="C611" s="103"/>
      <c r="D611" s="103"/>
      <c r="E611" s="103"/>
      <c r="F611" s="103"/>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102"/>
      <c r="C612" s="103"/>
      <c r="D612" s="103"/>
      <c r="E612" s="103"/>
      <c r="F612" s="103"/>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102"/>
      <c r="C613" s="103"/>
      <c r="D613" s="103"/>
      <c r="E613" s="103"/>
      <c r="F613" s="103"/>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102"/>
      <c r="C614" s="103"/>
      <c r="D614" s="103"/>
      <c r="E614" s="103"/>
      <c r="F614" s="103"/>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102"/>
      <c r="C615" s="103"/>
      <c r="D615" s="103"/>
      <c r="E615" s="103"/>
      <c r="F615" s="103"/>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102"/>
      <c r="C616" s="103"/>
      <c r="D616" s="103"/>
      <c r="E616" s="103"/>
      <c r="F616" s="103"/>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102"/>
      <c r="C617" s="103"/>
      <c r="D617" s="103"/>
      <c r="E617" s="103"/>
      <c r="F617" s="103"/>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102"/>
      <c r="C618" s="103"/>
      <c r="D618" s="103"/>
      <c r="E618" s="103"/>
      <c r="F618" s="103"/>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102"/>
      <c r="C619" s="103"/>
      <c r="D619" s="103"/>
      <c r="E619" s="103"/>
      <c r="F619" s="103"/>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102"/>
      <c r="C620" s="103"/>
      <c r="D620" s="103"/>
      <c r="E620" s="103"/>
      <c r="F620" s="103"/>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102"/>
      <c r="C621" s="103"/>
      <c r="D621" s="103"/>
      <c r="E621" s="103"/>
      <c r="F621" s="103"/>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102"/>
      <c r="C622" s="103"/>
      <c r="D622" s="103"/>
      <c r="E622" s="103"/>
      <c r="F622" s="103"/>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102"/>
      <c r="C623" s="103"/>
      <c r="D623" s="103"/>
      <c r="E623" s="103"/>
      <c r="F623" s="103"/>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102"/>
      <c r="C624" s="103"/>
      <c r="D624" s="103"/>
      <c r="E624" s="103"/>
      <c r="F624" s="103"/>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102"/>
      <c r="C625" s="103"/>
      <c r="D625" s="103"/>
      <c r="E625" s="103"/>
      <c r="F625" s="103"/>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102"/>
      <c r="C626" s="103"/>
      <c r="D626" s="103"/>
      <c r="E626" s="103"/>
      <c r="F626" s="103"/>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102"/>
      <c r="C627" s="103"/>
      <c r="D627" s="103"/>
      <c r="E627" s="103"/>
      <c r="F627" s="103"/>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102"/>
      <c r="C628" s="103"/>
      <c r="D628" s="103"/>
      <c r="E628" s="103"/>
      <c r="F628" s="103"/>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102"/>
      <c r="C629" s="103"/>
      <c r="D629" s="103"/>
      <c r="E629" s="103"/>
      <c r="F629" s="103"/>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102"/>
      <c r="C630" s="103"/>
      <c r="D630" s="103"/>
      <c r="E630" s="103"/>
      <c r="F630" s="103"/>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102"/>
      <c r="C631" s="103"/>
      <c r="D631" s="103"/>
      <c r="E631" s="103"/>
      <c r="F631" s="103"/>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102"/>
      <c r="C632" s="103"/>
      <c r="D632" s="103"/>
      <c r="E632" s="103"/>
      <c r="F632" s="103"/>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102"/>
      <c r="C633" s="103"/>
      <c r="D633" s="103"/>
      <c r="E633" s="103"/>
      <c r="F633" s="103"/>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102"/>
      <c r="C634" s="103"/>
      <c r="D634" s="103"/>
      <c r="E634" s="103"/>
      <c r="F634" s="103"/>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102"/>
      <c r="C635" s="103"/>
      <c r="D635" s="103"/>
      <c r="E635" s="103"/>
      <c r="F635" s="103"/>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102"/>
      <c r="C636" s="103"/>
      <c r="D636" s="103"/>
      <c r="E636" s="103"/>
      <c r="F636" s="103"/>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102"/>
      <c r="C637" s="103"/>
      <c r="D637" s="103"/>
      <c r="E637" s="103"/>
      <c r="F637" s="103"/>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102"/>
      <c r="C638" s="103"/>
      <c r="D638" s="103"/>
      <c r="E638" s="103"/>
      <c r="F638" s="103"/>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102"/>
      <c r="C639" s="103"/>
      <c r="D639" s="103"/>
      <c r="E639" s="103"/>
      <c r="F639" s="103"/>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102"/>
      <c r="C640" s="103"/>
      <c r="D640" s="103"/>
      <c r="E640" s="103"/>
      <c r="F640" s="103"/>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102"/>
      <c r="C641" s="103"/>
      <c r="D641" s="103"/>
      <c r="E641" s="103"/>
      <c r="F641" s="103"/>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102"/>
      <c r="C642" s="103"/>
      <c r="D642" s="103"/>
      <c r="E642" s="103"/>
      <c r="F642" s="103"/>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102"/>
      <c r="C643" s="103"/>
      <c r="D643" s="103"/>
      <c r="E643" s="103"/>
      <c r="F643" s="103"/>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102"/>
      <c r="C644" s="103"/>
      <c r="D644" s="103"/>
      <c r="E644" s="103"/>
      <c r="F644" s="103"/>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102"/>
      <c r="C645" s="103"/>
      <c r="D645" s="103"/>
      <c r="E645" s="103"/>
      <c r="F645" s="103"/>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102"/>
      <c r="C646" s="103"/>
      <c r="D646" s="103"/>
      <c r="E646" s="103"/>
      <c r="F646" s="103"/>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102"/>
      <c r="C647" s="103"/>
      <c r="D647" s="103"/>
      <c r="E647" s="103"/>
      <c r="F647" s="103"/>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102"/>
      <c r="C648" s="103"/>
      <c r="D648" s="103"/>
      <c r="E648" s="103"/>
      <c r="F648" s="103"/>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102"/>
      <c r="C649" s="103"/>
      <c r="D649" s="103"/>
      <c r="E649" s="103"/>
      <c r="F649" s="103"/>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102"/>
      <c r="C650" s="103"/>
      <c r="D650" s="103"/>
      <c r="E650" s="103"/>
      <c r="F650" s="103"/>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102"/>
      <c r="C651" s="103"/>
      <c r="D651" s="103"/>
      <c r="E651" s="103"/>
      <c r="F651" s="103"/>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102"/>
      <c r="C652" s="103"/>
      <c r="D652" s="103"/>
      <c r="E652" s="103"/>
      <c r="F652" s="103"/>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102"/>
      <c r="C653" s="103"/>
      <c r="D653" s="103"/>
      <c r="E653" s="103"/>
      <c r="F653" s="103"/>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102"/>
      <c r="C654" s="103"/>
      <c r="D654" s="103"/>
      <c r="E654" s="103"/>
      <c r="F654" s="103"/>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102"/>
      <c r="C655" s="103"/>
      <c r="D655" s="103"/>
      <c r="E655" s="103"/>
      <c r="F655" s="103"/>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102"/>
      <c r="C656" s="103"/>
      <c r="D656" s="103"/>
      <c r="E656" s="103"/>
      <c r="F656" s="103"/>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102"/>
      <c r="C657" s="103"/>
      <c r="D657" s="103"/>
      <c r="E657" s="103"/>
      <c r="F657" s="103"/>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102"/>
      <c r="C658" s="103"/>
      <c r="D658" s="103"/>
      <c r="E658" s="103"/>
      <c r="F658" s="103"/>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102"/>
      <c r="C659" s="103"/>
      <c r="D659" s="103"/>
      <c r="E659" s="103"/>
      <c r="F659" s="103"/>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102"/>
      <c r="C660" s="103"/>
      <c r="D660" s="103"/>
      <c r="E660" s="103"/>
      <c r="F660" s="103"/>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102"/>
      <c r="C661" s="103"/>
      <c r="D661" s="103"/>
      <c r="E661" s="103"/>
      <c r="F661" s="103"/>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102"/>
      <c r="C662" s="103"/>
      <c r="D662" s="103"/>
      <c r="E662" s="103"/>
      <c r="F662" s="103"/>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102"/>
      <c r="C663" s="103"/>
      <c r="D663" s="103"/>
      <c r="E663" s="103"/>
      <c r="F663" s="103"/>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102"/>
      <c r="C664" s="103"/>
      <c r="D664" s="103"/>
      <c r="E664" s="103"/>
      <c r="F664" s="103"/>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102"/>
      <c r="C665" s="103"/>
      <c r="D665" s="103"/>
      <c r="E665" s="103"/>
      <c r="F665" s="103"/>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102"/>
      <c r="C666" s="103"/>
      <c r="D666" s="103"/>
      <c r="E666" s="103"/>
      <c r="F666" s="103"/>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102"/>
      <c r="C667" s="103"/>
      <c r="D667" s="103"/>
      <c r="E667" s="103"/>
      <c r="F667" s="103"/>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102"/>
      <c r="C668" s="103"/>
      <c r="D668" s="103"/>
      <c r="E668" s="103"/>
      <c r="F668" s="103"/>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102"/>
      <c r="C669" s="103"/>
      <c r="D669" s="103"/>
      <c r="E669" s="103"/>
      <c r="F669" s="103"/>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102"/>
      <c r="C670" s="103"/>
      <c r="D670" s="103"/>
      <c r="E670" s="103"/>
      <c r="F670" s="103"/>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102"/>
      <c r="C671" s="103"/>
      <c r="D671" s="103"/>
      <c r="E671" s="103"/>
      <c r="F671" s="103"/>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102"/>
      <c r="C672" s="103"/>
      <c r="D672" s="103"/>
      <c r="E672" s="103"/>
      <c r="F672" s="103"/>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102"/>
      <c r="C673" s="103"/>
      <c r="D673" s="103"/>
      <c r="E673" s="103"/>
      <c r="F673" s="103"/>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102"/>
      <c r="C674" s="103"/>
      <c r="D674" s="103"/>
      <c r="E674" s="103"/>
      <c r="F674" s="103"/>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102"/>
      <c r="C675" s="103"/>
      <c r="D675" s="103"/>
      <c r="E675" s="103"/>
      <c r="F675" s="103"/>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102"/>
      <c r="C676" s="103"/>
      <c r="D676" s="103"/>
      <c r="E676" s="103"/>
      <c r="F676" s="103"/>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102"/>
      <c r="C677" s="103"/>
      <c r="D677" s="103"/>
      <c r="E677" s="103"/>
      <c r="F677" s="103"/>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102"/>
      <c r="C678" s="103"/>
      <c r="D678" s="103"/>
      <c r="E678" s="103"/>
      <c r="F678" s="103"/>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102"/>
      <c r="C679" s="103"/>
      <c r="D679" s="103"/>
      <c r="E679" s="103"/>
      <c r="F679" s="103"/>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102"/>
      <c r="C680" s="103"/>
      <c r="D680" s="103"/>
      <c r="E680" s="103"/>
      <c r="F680" s="103"/>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102"/>
      <c r="C681" s="103"/>
      <c r="D681" s="103"/>
      <c r="E681" s="103"/>
      <c r="F681" s="103"/>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102"/>
      <c r="C682" s="103"/>
      <c r="D682" s="103"/>
      <c r="E682" s="103"/>
      <c r="F682" s="103"/>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102"/>
      <c r="C683" s="103"/>
      <c r="D683" s="103"/>
      <c r="E683" s="103"/>
      <c r="F683" s="103"/>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102"/>
      <c r="C684" s="103"/>
      <c r="D684" s="103"/>
      <c r="E684" s="103"/>
      <c r="F684" s="103"/>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102"/>
      <c r="C685" s="103"/>
      <c r="D685" s="103"/>
      <c r="E685" s="103"/>
      <c r="F685" s="103"/>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102"/>
      <c r="C686" s="103"/>
      <c r="D686" s="103"/>
      <c r="E686" s="103"/>
      <c r="F686" s="103"/>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102"/>
      <c r="C687" s="103"/>
      <c r="D687" s="103"/>
      <c r="E687" s="103"/>
      <c r="F687" s="103"/>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102"/>
      <c r="C688" s="103"/>
      <c r="D688" s="103"/>
      <c r="E688" s="103"/>
      <c r="F688" s="103"/>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102"/>
      <c r="C689" s="103"/>
      <c r="D689" s="103"/>
      <c r="E689" s="103"/>
      <c r="F689" s="103"/>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102"/>
      <c r="C690" s="103"/>
      <c r="D690" s="103"/>
      <c r="E690" s="103"/>
      <c r="F690" s="103"/>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102"/>
      <c r="C691" s="103"/>
      <c r="D691" s="103"/>
      <c r="E691" s="103"/>
      <c r="F691" s="103"/>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102"/>
      <c r="C692" s="103"/>
      <c r="D692" s="103"/>
      <c r="E692" s="103"/>
      <c r="F692" s="103"/>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102"/>
      <c r="C693" s="103"/>
      <c r="D693" s="103"/>
      <c r="E693" s="103"/>
      <c r="F693" s="103"/>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102"/>
      <c r="C694" s="103"/>
      <c r="D694" s="103"/>
      <c r="E694" s="103"/>
      <c r="F694" s="103"/>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102"/>
      <c r="C695" s="103"/>
      <c r="D695" s="103"/>
      <c r="E695" s="103"/>
      <c r="F695" s="103"/>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102"/>
      <c r="C696" s="103"/>
      <c r="D696" s="103"/>
      <c r="E696" s="103"/>
      <c r="F696" s="103"/>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102"/>
      <c r="C697" s="103"/>
      <c r="D697" s="103"/>
      <c r="E697" s="103"/>
      <c r="F697" s="103"/>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102"/>
      <c r="C698" s="103"/>
      <c r="D698" s="103"/>
      <c r="E698" s="103"/>
      <c r="F698" s="103"/>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102"/>
      <c r="C699" s="103"/>
      <c r="D699" s="103"/>
      <c r="E699" s="103"/>
      <c r="F699" s="103"/>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102"/>
      <c r="C700" s="103"/>
      <c r="D700" s="103"/>
      <c r="E700" s="103"/>
      <c r="F700" s="103"/>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102"/>
      <c r="C701" s="103"/>
      <c r="D701" s="103"/>
      <c r="E701" s="103"/>
      <c r="F701" s="103"/>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102"/>
      <c r="C702" s="103"/>
      <c r="D702" s="103"/>
      <c r="E702" s="103"/>
      <c r="F702" s="103"/>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102"/>
      <c r="C703" s="103"/>
      <c r="D703" s="103"/>
      <c r="E703" s="103"/>
      <c r="F703" s="103"/>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102"/>
      <c r="C704" s="103"/>
      <c r="D704" s="103"/>
      <c r="E704" s="103"/>
      <c r="F704" s="103"/>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102"/>
      <c r="C705" s="103"/>
      <c r="D705" s="103"/>
      <c r="E705" s="103"/>
      <c r="F705" s="103"/>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102"/>
      <c r="C706" s="103"/>
      <c r="D706" s="103"/>
      <c r="E706" s="103"/>
      <c r="F706" s="103"/>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102"/>
      <c r="C707" s="103"/>
      <c r="D707" s="103"/>
      <c r="E707" s="103"/>
      <c r="F707" s="103"/>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102"/>
      <c r="C708" s="103"/>
      <c r="D708" s="103"/>
      <c r="E708" s="103"/>
      <c r="F708" s="103"/>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102"/>
      <c r="C709" s="103"/>
      <c r="D709" s="103"/>
      <c r="E709" s="103"/>
      <c r="F709" s="103"/>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102"/>
      <c r="C710" s="103"/>
      <c r="D710" s="103"/>
      <c r="E710" s="103"/>
      <c r="F710" s="103"/>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102"/>
      <c r="C711" s="103"/>
      <c r="D711" s="103"/>
      <c r="E711" s="103"/>
      <c r="F711" s="103"/>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102"/>
      <c r="C712" s="103"/>
      <c r="D712" s="103"/>
      <c r="E712" s="103"/>
      <c r="F712" s="103"/>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102"/>
      <c r="C713" s="103"/>
      <c r="D713" s="103"/>
      <c r="E713" s="103"/>
      <c r="F713" s="103"/>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102"/>
      <c r="C714" s="103"/>
      <c r="D714" s="103"/>
      <c r="E714" s="103"/>
      <c r="F714" s="103"/>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102"/>
      <c r="C715" s="103"/>
      <c r="D715" s="103"/>
      <c r="E715" s="103"/>
      <c r="F715" s="103"/>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102"/>
      <c r="C716" s="103"/>
      <c r="D716" s="103"/>
      <c r="E716" s="103"/>
      <c r="F716" s="103"/>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102"/>
      <c r="C717" s="103"/>
      <c r="D717" s="103"/>
      <c r="E717" s="103"/>
      <c r="F717" s="103"/>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102"/>
      <c r="C718" s="103"/>
      <c r="D718" s="103"/>
      <c r="E718" s="103"/>
      <c r="F718" s="103"/>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102"/>
      <c r="C719" s="103"/>
      <c r="D719" s="103"/>
      <c r="E719" s="103"/>
      <c r="F719" s="103"/>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102"/>
      <c r="C720" s="103"/>
      <c r="D720" s="103"/>
      <c r="E720" s="103"/>
      <c r="F720" s="103"/>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102"/>
      <c r="C721" s="103"/>
      <c r="D721" s="103"/>
      <c r="E721" s="103"/>
      <c r="F721" s="103"/>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102"/>
      <c r="C722" s="103"/>
      <c r="D722" s="103"/>
      <c r="E722" s="103"/>
      <c r="F722" s="103"/>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102"/>
      <c r="C723" s="103"/>
      <c r="D723" s="103"/>
      <c r="E723" s="103"/>
      <c r="F723" s="103"/>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102"/>
      <c r="C724" s="103"/>
      <c r="D724" s="103"/>
      <c r="E724" s="103"/>
      <c r="F724" s="103"/>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102"/>
      <c r="C725" s="103"/>
      <c r="D725" s="103"/>
      <c r="E725" s="103"/>
      <c r="F725" s="103"/>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102"/>
      <c r="C726" s="103"/>
      <c r="D726" s="103"/>
      <c r="E726" s="103"/>
      <c r="F726" s="103"/>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102"/>
      <c r="C727" s="103"/>
      <c r="D727" s="103"/>
      <c r="E727" s="103"/>
      <c r="F727" s="103"/>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102"/>
      <c r="C728" s="103"/>
      <c r="D728" s="103"/>
      <c r="E728" s="103"/>
      <c r="F728" s="103"/>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102"/>
      <c r="C729" s="103"/>
      <c r="D729" s="103"/>
      <c r="E729" s="103"/>
      <c r="F729" s="103"/>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102"/>
      <c r="C730" s="103"/>
      <c r="D730" s="103"/>
      <c r="E730" s="103"/>
      <c r="F730" s="103"/>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102"/>
      <c r="C731" s="103"/>
      <c r="D731" s="103"/>
      <c r="E731" s="103"/>
      <c r="F731" s="103"/>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102"/>
      <c r="C732" s="103"/>
      <c r="D732" s="103"/>
      <c r="E732" s="103"/>
      <c r="F732" s="103"/>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102"/>
      <c r="C733" s="103"/>
      <c r="D733" s="103"/>
      <c r="E733" s="103"/>
      <c r="F733" s="103"/>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102"/>
      <c r="C734" s="103"/>
      <c r="D734" s="103"/>
      <c r="E734" s="103"/>
      <c r="F734" s="103"/>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102"/>
      <c r="C735" s="103"/>
      <c r="D735" s="103"/>
      <c r="E735" s="103"/>
      <c r="F735" s="103"/>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102"/>
      <c r="C736" s="103"/>
      <c r="D736" s="103"/>
      <c r="E736" s="103"/>
      <c r="F736" s="103"/>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102"/>
      <c r="C737" s="103"/>
      <c r="D737" s="103"/>
      <c r="E737" s="103"/>
      <c r="F737" s="103"/>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102"/>
      <c r="C738" s="103"/>
      <c r="D738" s="103"/>
      <c r="E738" s="103"/>
      <c r="F738" s="103"/>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102"/>
      <c r="C739" s="103"/>
      <c r="D739" s="103"/>
      <c r="E739" s="103"/>
      <c r="F739" s="103"/>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102"/>
      <c r="C740" s="103"/>
      <c r="D740" s="103"/>
      <c r="E740" s="103"/>
      <c r="F740" s="103"/>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102"/>
      <c r="C741" s="103"/>
      <c r="D741" s="103"/>
      <c r="E741" s="103"/>
      <c r="F741" s="103"/>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102"/>
      <c r="C742" s="103"/>
      <c r="D742" s="103"/>
      <c r="E742" s="103"/>
      <c r="F742" s="103"/>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102"/>
      <c r="C743" s="103"/>
      <c r="D743" s="103"/>
      <c r="E743" s="103"/>
      <c r="F743" s="103"/>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102"/>
      <c r="C744" s="103"/>
      <c r="D744" s="103"/>
      <c r="E744" s="103"/>
      <c r="F744" s="103"/>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102"/>
      <c r="C745" s="103"/>
      <c r="D745" s="103"/>
      <c r="E745" s="103"/>
      <c r="F745" s="103"/>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102"/>
      <c r="C746" s="103"/>
      <c r="D746" s="103"/>
      <c r="E746" s="103"/>
      <c r="F746" s="103"/>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102"/>
      <c r="C747" s="103"/>
      <c r="D747" s="103"/>
      <c r="E747" s="103"/>
      <c r="F747" s="103"/>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102"/>
      <c r="C748" s="103"/>
      <c r="D748" s="103"/>
      <c r="E748" s="103"/>
      <c r="F748" s="103"/>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102"/>
      <c r="C749" s="103"/>
      <c r="D749" s="103"/>
      <c r="E749" s="103"/>
      <c r="F749" s="103"/>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102"/>
      <c r="C750" s="103"/>
      <c r="D750" s="103"/>
      <c r="E750" s="103"/>
      <c r="F750" s="103"/>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102"/>
      <c r="C751" s="103"/>
      <c r="D751" s="103"/>
      <c r="E751" s="103"/>
      <c r="F751" s="103"/>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102"/>
      <c r="C752" s="103"/>
      <c r="D752" s="103"/>
      <c r="E752" s="103"/>
      <c r="F752" s="103"/>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102"/>
      <c r="C753" s="103"/>
      <c r="D753" s="103"/>
      <c r="E753" s="103"/>
      <c r="F753" s="103"/>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102"/>
      <c r="C754" s="103"/>
      <c r="D754" s="103"/>
      <c r="E754" s="103"/>
      <c r="F754" s="103"/>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102"/>
      <c r="C755" s="103"/>
      <c r="D755" s="103"/>
      <c r="E755" s="103"/>
      <c r="F755" s="103"/>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102"/>
      <c r="C756" s="103"/>
      <c r="D756" s="103"/>
      <c r="E756" s="103"/>
      <c r="F756" s="103"/>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102"/>
      <c r="C757" s="103"/>
      <c r="D757" s="103"/>
      <c r="E757" s="103"/>
      <c r="F757" s="103"/>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102"/>
      <c r="C758" s="103"/>
      <c r="D758" s="103"/>
      <c r="E758" s="103"/>
      <c r="F758" s="103"/>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102"/>
      <c r="C759" s="103"/>
      <c r="D759" s="103"/>
      <c r="E759" s="103"/>
      <c r="F759" s="103"/>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102"/>
      <c r="C760" s="103"/>
      <c r="D760" s="103"/>
      <c r="E760" s="103"/>
      <c r="F760" s="103"/>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102"/>
      <c r="C761" s="103"/>
      <c r="D761" s="103"/>
      <c r="E761" s="103"/>
      <c r="F761" s="103"/>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102"/>
      <c r="C762" s="103"/>
      <c r="D762" s="103"/>
      <c r="E762" s="103"/>
      <c r="F762" s="103"/>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102"/>
      <c r="C763" s="103"/>
      <c r="D763" s="103"/>
      <c r="E763" s="103"/>
      <c r="F763" s="103"/>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102"/>
      <c r="C764" s="103"/>
      <c r="D764" s="103"/>
      <c r="E764" s="103"/>
      <c r="F764" s="103"/>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102"/>
      <c r="C765" s="103"/>
      <c r="D765" s="103"/>
      <c r="E765" s="103"/>
      <c r="F765" s="103"/>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102"/>
      <c r="C766" s="103"/>
      <c r="D766" s="103"/>
      <c r="E766" s="103"/>
      <c r="F766" s="103"/>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102"/>
      <c r="C767" s="103"/>
      <c r="D767" s="103"/>
      <c r="E767" s="103"/>
      <c r="F767" s="103"/>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102"/>
      <c r="C768" s="103"/>
      <c r="D768" s="103"/>
      <c r="E768" s="103"/>
      <c r="F768" s="103"/>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102"/>
      <c r="C769" s="103"/>
      <c r="D769" s="103"/>
      <c r="E769" s="103"/>
      <c r="F769" s="103"/>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102"/>
      <c r="C770" s="103"/>
      <c r="D770" s="103"/>
      <c r="E770" s="103"/>
      <c r="F770" s="103"/>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102"/>
      <c r="C771" s="103"/>
      <c r="D771" s="103"/>
      <c r="E771" s="103"/>
      <c r="F771" s="103"/>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102"/>
      <c r="C772" s="103"/>
      <c r="D772" s="103"/>
      <c r="E772" s="103"/>
      <c r="F772" s="103"/>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102"/>
      <c r="C773" s="103"/>
      <c r="D773" s="103"/>
      <c r="E773" s="103"/>
      <c r="F773" s="103"/>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102"/>
      <c r="C774" s="103"/>
      <c r="D774" s="103"/>
      <c r="E774" s="103"/>
      <c r="F774" s="103"/>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102"/>
      <c r="C775" s="103"/>
      <c r="D775" s="103"/>
      <c r="E775" s="103"/>
      <c r="F775" s="103"/>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102"/>
      <c r="C776" s="103"/>
      <c r="D776" s="103"/>
      <c r="E776" s="103"/>
      <c r="F776" s="103"/>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102"/>
      <c r="C777" s="103"/>
      <c r="D777" s="103"/>
      <c r="E777" s="103"/>
      <c r="F777" s="103"/>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102"/>
      <c r="C778" s="103"/>
      <c r="D778" s="103"/>
      <c r="E778" s="103"/>
      <c r="F778" s="103"/>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102"/>
      <c r="C779" s="103"/>
      <c r="D779" s="103"/>
      <c r="E779" s="103"/>
      <c r="F779" s="103"/>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102"/>
      <c r="C780" s="103"/>
      <c r="D780" s="103"/>
      <c r="E780" s="103"/>
      <c r="F780" s="103"/>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102"/>
      <c r="C781" s="103"/>
      <c r="D781" s="103"/>
      <c r="E781" s="103"/>
      <c r="F781" s="103"/>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102"/>
      <c r="C782" s="103"/>
      <c r="D782" s="103"/>
      <c r="E782" s="103"/>
      <c r="F782" s="103"/>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102"/>
      <c r="C783" s="103"/>
      <c r="D783" s="103"/>
      <c r="E783" s="103"/>
      <c r="F783" s="103"/>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102"/>
      <c r="C784" s="103"/>
      <c r="D784" s="103"/>
      <c r="E784" s="103"/>
      <c r="F784" s="103"/>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102"/>
      <c r="C785" s="103"/>
      <c r="D785" s="103"/>
      <c r="E785" s="103"/>
      <c r="F785" s="103"/>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102"/>
      <c r="C786" s="103"/>
      <c r="D786" s="103"/>
      <c r="E786" s="103"/>
      <c r="F786" s="103"/>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102"/>
      <c r="C787" s="103"/>
      <c r="D787" s="103"/>
      <c r="E787" s="103"/>
      <c r="F787" s="103"/>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102"/>
      <c r="C788" s="103"/>
      <c r="D788" s="103"/>
      <c r="E788" s="103"/>
      <c r="F788" s="103"/>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102"/>
      <c r="C789" s="103"/>
      <c r="D789" s="103"/>
      <c r="E789" s="103"/>
      <c r="F789" s="103"/>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102"/>
      <c r="C790" s="103"/>
      <c r="D790" s="103"/>
      <c r="E790" s="103"/>
      <c r="F790" s="103"/>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102"/>
      <c r="C791" s="103"/>
      <c r="D791" s="103"/>
      <c r="E791" s="103"/>
      <c r="F791" s="103"/>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102"/>
      <c r="C792" s="103"/>
      <c r="D792" s="103"/>
      <c r="E792" s="103"/>
      <c r="F792" s="103"/>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102"/>
      <c r="C793" s="103"/>
      <c r="D793" s="103"/>
      <c r="E793" s="103"/>
      <c r="F793" s="103"/>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102"/>
      <c r="C794" s="103"/>
      <c r="D794" s="103"/>
      <c r="E794" s="103"/>
      <c r="F794" s="103"/>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102"/>
      <c r="C795" s="103"/>
      <c r="D795" s="103"/>
      <c r="E795" s="103"/>
      <c r="F795" s="103"/>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102"/>
      <c r="C796" s="103"/>
      <c r="D796" s="103"/>
      <c r="E796" s="103"/>
      <c r="F796" s="103"/>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102"/>
      <c r="C797" s="103"/>
      <c r="D797" s="103"/>
      <c r="E797" s="103"/>
      <c r="F797" s="103"/>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102"/>
      <c r="C798" s="103"/>
      <c r="D798" s="103"/>
      <c r="E798" s="103"/>
      <c r="F798" s="103"/>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102"/>
      <c r="C799" s="103"/>
      <c r="D799" s="103"/>
      <c r="E799" s="103"/>
      <c r="F799" s="103"/>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102"/>
      <c r="C800" s="103"/>
      <c r="D800" s="103"/>
      <c r="E800" s="103"/>
      <c r="F800" s="103"/>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102"/>
      <c r="C801" s="103"/>
      <c r="D801" s="103"/>
      <c r="E801" s="103"/>
      <c r="F801" s="103"/>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102"/>
      <c r="C802" s="103"/>
      <c r="D802" s="103"/>
      <c r="E802" s="103"/>
      <c r="F802" s="103"/>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102"/>
      <c r="C803" s="103"/>
      <c r="D803" s="103"/>
      <c r="E803" s="103"/>
      <c r="F803" s="103"/>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102"/>
      <c r="C804" s="103"/>
      <c r="D804" s="103"/>
      <c r="E804" s="103"/>
      <c r="F804" s="103"/>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102"/>
      <c r="C805" s="103"/>
      <c r="D805" s="103"/>
      <c r="E805" s="103"/>
      <c r="F805" s="103"/>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102"/>
      <c r="C806" s="103"/>
      <c r="D806" s="103"/>
      <c r="E806" s="103"/>
      <c r="F806" s="103"/>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102"/>
      <c r="C807" s="103"/>
      <c r="D807" s="103"/>
      <c r="E807" s="103"/>
      <c r="F807" s="103"/>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102"/>
      <c r="C808" s="103"/>
      <c r="D808" s="103"/>
      <c r="E808" s="103"/>
      <c r="F808" s="103"/>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102"/>
      <c r="C809" s="103"/>
      <c r="D809" s="103"/>
      <c r="E809" s="103"/>
      <c r="F809" s="103"/>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102"/>
      <c r="C810" s="103"/>
      <c r="D810" s="103"/>
      <c r="E810" s="103"/>
      <c r="F810" s="103"/>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102"/>
      <c r="C811" s="103"/>
      <c r="D811" s="103"/>
      <c r="E811" s="103"/>
      <c r="F811" s="103"/>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102"/>
      <c r="C812" s="103"/>
      <c r="D812" s="103"/>
      <c r="E812" s="103"/>
      <c r="F812" s="103"/>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102"/>
      <c r="C813" s="103"/>
      <c r="D813" s="103"/>
      <c r="E813" s="103"/>
      <c r="F813" s="103"/>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102"/>
      <c r="C814" s="103"/>
      <c r="D814" s="103"/>
      <c r="E814" s="103"/>
      <c r="F814" s="103"/>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102"/>
      <c r="C815" s="103"/>
      <c r="D815" s="103"/>
      <c r="E815" s="103"/>
      <c r="F815" s="103"/>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102"/>
      <c r="C816" s="103"/>
      <c r="D816" s="103"/>
      <c r="E816" s="103"/>
      <c r="F816" s="103"/>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102"/>
      <c r="C817" s="103"/>
      <c r="D817" s="103"/>
      <c r="E817" s="103"/>
      <c r="F817" s="103"/>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102"/>
      <c r="C818" s="103"/>
      <c r="D818" s="103"/>
      <c r="E818" s="103"/>
      <c r="F818" s="103"/>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102"/>
      <c r="C819" s="103"/>
      <c r="D819" s="103"/>
      <c r="E819" s="103"/>
      <c r="F819" s="103"/>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102"/>
      <c r="C820" s="103"/>
      <c r="D820" s="103"/>
      <c r="E820" s="103"/>
      <c r="F820" s="103"/>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102"/>
      <c r="C821" s="103"/>
      <c r="D821" s="103"/>
      <c r="E821" s="103"/>
      <c r="F821" s="103"/>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102"/>
      <c r="C822" s="103"/>
      <c r="D822" s="103"/>
      <c r="E822" s="103"/>
      <c r="F822" s="103"/>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102"/>
      <c r="C823" s="103"/>
      <c r="D823" s="103"/>
      <c r="E823" s="103"/>
      <c r="F823" s="103"/>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102"/>
      <c r="C824" s="103"/>
      <c r="D824" s="103"/>
      <c r="E824" s="103"/>
      <c r="F824" s="103"/>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102"/>
      <c r="C825" s="103"/>
      <c r="D825" s="103"/>
      <c r="E825" s="103"/>
      <c r="F825" s="103"/>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102"/>
      <c r="C826" s="103"/>
      <c r="D826" s="103"/>
      <c r="E826" s="103"/>
      <c r="F826" s="103"/>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102"/>
      <c r="C827" s="103"/>
      <c r="D827" s="103"/>
      <c r="E827" s="103"/>
      <c r="F827" s="103"/>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102"/>
      <c r="C828" s="103"/>
      <c r="D828" s="103"/>
      <c r="E828" s="103"/>
      <c r="F828" s="103"/>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102"/>
      <c r="C829" s="103"/>
      <c r="D829" s="103"/>
      <c r="E829" s="103"/>
      <c r="F829" s="103"/>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102"/>
      <c r="C830" s="103"/>
      <c r="D830" s="103"/>
      <c r="E830" s="103"/>
      <c r="F830" s="103"/>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102"/>
      <c r="C831" s="103"/>
      <c r="D831" s="103"/>
      <c r="E831" s="103"/>
      <c r="F831" s="103"/>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102"/>
      <c r="C832" s="103"/>
      <c r="D832" s="103"/>
      <c r="E832" s="103"/>
      <c r="F832" s="103"/>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102"/>
      <c r="C833" s="103"/>
      <c r="D833" s="103"/>
      <c r="E833" s="103"/>
      <c r="F833" s="103"/>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102"/>
      <c r="C834" s="103"/>
      <c r="D834" s="103"/>
      <c r="E834" s="103"/>
      <c r="F834" s="103"/>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102"/>
      <c r="C835" s="103"/>
      <c r="D835" s="103"/>
      <c r="E835" s="103"/>
      <c r="F835" s="103"/>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102"/>
      <c r="C836" s="103"/>
      <c r="D836" s="103"/>
      <c r="E836" s="103"/>
      <c r="F836" s="103"/>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102"/>
      <c r="C837" s="103"/>
      <c r="D837" s="103"/>
      <c r="E837" s="103"/>
      <c r="F837" s="103"/>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102"/>
      <c r="C838" s="103"/>
      <c r="D838" s="103"/>
      <c r="E838" s="103"/>
      <c r="F838" s="103"/>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102"/>
      <c r="C839" s="103"/>
      <c r="D839" s="103"/>
      <c r="E839" s="103"/>
      <c r="F839" s="103"/>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102"/>
      <c r="C840" s="103"/>
      <c r="D840" s="103"/>
      <c r="E840" s="103"/>
      <c r="F840" s="103"/>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102"/>
      <c r="C841" s="103"/>
      <c r="D841" s="103"/>
      <c r="E841" s="103"/>
      <c r="F841" s="103"/>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102"/>
      <c r="C842" s="103"/>
      <c r="D842" s="103"/>
      <c r="E842" s="103"/>
      <c r="F842" s="103"/>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102"/>
      <c r="C843" s="103"/>
      <c r="D843" s="103"/>
      <c r="E843" s="103"/>
      <c r="F843" s="103"/>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102"/>
      <c r="C844" s="103"/>
      <c r="D844" s="103"/>
      <c r="E844" s="103"/>
      <c r="F844" s="103"/>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102"/>
      <c r="C845" s="103"/>
      <c r="D845" s="103"/>
      <c r="E845" s="103"/>
      <c r="F845" s="103"/>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102"/>
      <c r="C846" s="103"/>
      <c r="D846" s="103"/>
      <c r="E846" s="103"/>
      <c r="F846" s="103"/>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102"/>
      <c r="C847" s="103"/>
      <c r="D847" s="103"/>
      <c r="E847" s="103"/>
      <c r="F847" s="103"/>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102"/>
      <c r="C848" s="103"/>
      <c r="D848" s="103"/>
      <c r="E848" s="103"/>
      <c r="F848" s="103"/>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102"/>
      <c r="C849" s="103"/>
      <c r="D849" s="103"/>
      <c r="E849" s="103"/>
      <c r="F849" s="103"/>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102"/>
      <c r="C850" s="103"/>
      <c r="D850" s="103"/>
      <c r="E850" s="103"/>
      <c r="F850" s="103"/>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102"/>
      <c r="C851" s="103"/>
      <c r="D851" s="103"/>
      <c r="E851" s="103"/>
      <c r="F851" s="103"/>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102"/>
      <c r="C852" s="103"/>
      <c r="D852" s="103"/>
      <c r="E852" s="103"/>
      <c r="F852" s="103"/>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102"/>
      <c r="C853" s="103"/>
      <c r="D853" s="103"/>
      <c r="E853" s="103"/>
      <c r="F853" s="103"/>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102"/>
      <c r="C854" s="103"/>
      <c r="D854" s="103"/>
      <c r="E854" s="103"/>
      <c r="F854" s="103"/>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102"/>
      <c r="C855" s="103"/>
      <c r="D855" s="103"/>
      <c r="E855" s="103"/>
      <c r="F855" s="103"/>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102"/>
      <c r="C856" s="103"/>
      <c r="D856" s="103"/>
      <c r="E856" s="103"/>
      <c r="F856" s="103"/>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102"/>
      <c r="C857" s="103"/>
      <c r="D857" s="103"/>
      <c r="E857" s="103"/>
      <c r="F857" s="103"/>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102"/>
      <c r="C858" s="103"/>
      <c r="D858" s="103"/>
      <c r="E858" s="103"/>
      <c r="F858" s="103"/>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102"/>
      <c r="C859" s="103"/>
      <c r="D859" s="103"/>
      <c r="E859" s="103"/>
      <c r="F859" s="103"/>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102"/>
      <c r="C860" s="103"/>
      <c r="D860" s="103"/>
      <c r="E860" s="103"/>
      <c r="F860" s="103"/>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102"/>
      <c r="C861" s="103"/>
      <c r="D861" s="103"/>
      <c r="E861" s="103"/>
      <c r="F861" s="103"/>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102"/>
      <c r="C862" s="103"/>
      <c r="D862" s="103"/>
      <c r="E862" s="103"/>
      <c r="F862" s="103"/>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102"/>
      <c r="C863" s="103"/>
      <c r="D863" s="103"/>
      <c r="E863" s="103"/>
      <c r="F863" s="103"/>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102"/>
      <c r="C864" s="103"/>
      <c r="D864" s="103"/>
      <c r="E864" s="103"/>
      <c r="F864" s="103"/>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102"/>
      <c r="C865" s="103"/>
      <c r="D865" s="103"/>
      <c r="E865" s="103"/>
      <c r="F865" s="103"/>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102"/>
      <c r="C866" s="103"/>
      <c r="D866" s="103"/>
      <c r="E866" s="103"/>
      <c r="F866" s="103"/>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102"/>
      <c r="C867" s="103"/>
      <c r="D867" s="103"/>
      <c r="E867" s="103"/>
      <c r="F867" s="103"/>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102"/>
      <c r="C868" s="103"/>
      <c r="D868" s="103"/>
      <c r="E868" s="103"/>
      <c r="F868" s="103"/>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102"/>
      <c r="C869" s="103"/>
      <c r="D869" s="103"/>
      <c r="E869" s="103"/>
      <c r="F869" s="103"/>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102"/>
      <c r="C870" s="103"/>
      <c r="D870" s="103"/>
      <c r="E870" s="103"/>
      <c r="F870" s="103"/>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102"/>
      <c r="C871" s="103"/>
      <c r="D871" s="103"/>
      <c r="E871" s="103"/>
      <c r="F871" s="103"/>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102"/>
      <c r="C872" s="103"/>
      <c r="D872" s="103"/>
      <c r="E872" s="103"/>
      <c r="F872" s="103"/>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102"/>
      <c r="C873" s="103"/>
      <c r="D873" s="103"/>
      <c r="E873" s="103"/>
      <c r="F873" s="103"/>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102"/>
      <c r="C874" s="103"/>
      <c r="D874" s="103"/>
      <c r="E874" s="103"/>
      <c r="F874" s="103"/>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102"/>
      <c r="C875" s="103"/>
      <c r="D875" s="103"/>
      <c r="E875" s="103"/>
      <c r="F875" s="103"/>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102"/>
      <c r="C876" s="103"/>
      <c r="D876" s="103"/>
      <c r="E876" s="103"/>
      <c r="F876" s="103"/>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102"/>
      <c r="C877" s="103"/>
      <c r="D877" s="103"/>
      <c r="E877" s="103"/>
      <c r="F877" s="103"/>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102"/>
      <c r="C878" s="103"/>
      <c r="D878" s="103"/>
      <c r="E878" s="103"/>
      <c r="F878" s="103"/>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102"/>
      <c r="C879" s="103"/>
      <c r="D879" s="103"/>
      <c r="E879" s="103"/>
      <c r="F879" s="103"/>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102"/>
      <c r="C880" s="103"/>
      <c r="D880" s="103"/>
      <c r="E880" s="103"/>
      <c r="F880" s="103"/>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102"/>
      <c r="C881" s="103"/>
      <c r="D881" s="103"/>
      <c r="E881" s="103"/>
      <c r="F881" s="103"/>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102"/>
      <c r="C882" s="103"/>
      <c r="D882" s="103"/>
      <c r="E882" s="103"/>
      <c r="F882" s="103"/>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102"/>
      <c r="C883" s="103"/>
      <c r="D883" s="103"/>
      <c r="E883" s="103"/>
      <c r="F883" s="103"/>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102"/>
      <c r="C884" s="103"/>
      <c r="D884" s="103"/>
      <c r="E884" s="103"/>
      <c r="F884" s="103"/>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102"/>
      <c r="C885" s="103"/>
      <c r="D885" s="103"/>
      <c r="E885" s="103"/>
      <c r="F885" s="103"/>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102"/>
      <c r="C886" s="103"/>
      <c r="D886" s="103"/>
      <c r="E886" s="103"/>
      <c r="F886" s="103"/>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102"/>
      <c r="C887" s="103"/>
      <c r="D887" s="103"/>
      <c r="E887" s="103"/>
      <c r="F887" s="103"/>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102"/>
      <c r="C888" s="103"/>
      <c r="D888" s="103"/>
      <c r="E888" s="103"/>
      <c r="F888" s="103"/>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102"/>
      <c r="C889" s="103"/>
      <c r="D889" s="103"/>
      <c r="E889" s="103"/>
      <c r="F889" s="103"/>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102"/>
      <c r="C890" s="103"/>
      <c r="D890" s="103"/>
      <c r="E890" s="103"/>
      <c r="F890" s="103"/>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102"/>
      <c r="C891" s="103"/>
      <c r="D891" s="103"/>
      <c r="E891" s="103"/>
      <c r="F891" s="103"/>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102"/>
      <c r="C892" s="103"/>
      <c r="D892" s="103"/>
      <c r="E892" s="103"/>
      <c r="F892" s="103"/>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102"/>
      <c r="C893" s="103"/>
      <c r="D893" s="103"/>
      <c r="E893" s="103"/>
      <c r="F893" s="103"/>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102"/>
      <c r="C894" s="103"/>
      <c r="D894" s="103"/>
      <c r="E894" s="103"/>
      <c r="F894" s="103"/>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102"/>
      <c r="C895" s="103"/>
      <c r="D895" s="103"/>
      <c r="E895" s="103"/>
      <c r="F895" s="103"/>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102"/>
      <c r="C896" s="103"/>
      <c r="D896" s="103"/>
      <c r="E896" s="103"/>
      <c r="F896" s="103"/>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102"/>
      <c r="C897" s="103"/>
      <c r="D897" s="103"/>
      <c r="E897" s="103"/>
      <c r="F897" s="103"/>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102"/>
      <c r="C898" s="103"/>
      <c r="D898" s="103"/>
      <c r="E898" s="103"/>
      <c r="F898" s="103"/>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102"/>
      <c r="C899" s="103"/>
      <c r="D899" s="103"/>
      <c r="E899" s="103"/>
      <c r="F899" s="103"/>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102"/>
      <c r="C900" s="103"/>
      <c r="D900" s="103"/>
      <c r="E900" s="103"/>
      <c r="F900" s="103"/>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102"/>
      <c r="C901" s="103"/>
      <c r="D901" s="103"/>
      <c r="E901" s="103"/>
      <c r="F901" s="103"/>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102"/>
      <c r="C902" s="103"/>
      <c r="D902" s="103"/>
      <c r="E902" s="103"/>
      <c r="F902" s="103"/>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102"/>
      <c r="C903" s="103"/>
      <c r="D903" s="103"/>
      <c r="E903" s="103"/>
      <c r="F903" s="103"/>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102"/>
      <c r="C904" s="103"/>
      <c r="D904" s="103"/>
      <c r="E904" s="103"/>
      <c r="F904" s="103"/>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102"/>
      <c r="C905" s="103"/>
      <c r="D905" s="103"/>
      <c r="E905" s="103"/>
      <c r="F905" s="103"/>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102"/>
      <c r="C906" s="103"/>
      <c r="D906" s="103"/>
      <c r="E906" s="103"/>
      <c r="F906" s="103"/>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102"/>
      <c r="C907" s="103"/>
      <c r="D907" s="103"/>
      <c r="E907" s="103"/>
      <c r="F907" s="103"/>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102"/>
      <c r="C908" s="103"/>
      <c r="D908" s="103"/>
      <c r="E908" s="103"/>
      <c r="F908" s="103"/>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102"/>
      <c r="C909" s="103"/>
      <c r="D909" s="103"/>
      <c r="E909" s="103"/>
      <c r="F909" s="103"/>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102"/>
      <c r="C910" s="103"/>
      <c r="D910" s="103"/>
      <c r="E910" s="103"/>
      <c r="F910" s="103"/>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102"/>
      <c r="C911" s="103"/>
      <c r="D911" s="103"/>
      <c r="E911" s="103"/>
      <c r="F911" s="103"/>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102"/>
      <c r="C912" s="103"/>
      <c r="D912" s="103"/>
      <c r="E912" s="103"/>
      <c r="F912" s="103"/>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102"/>
      <c r="C913" s="103"/>
      <c r="D913" s="103"/>
      <c r="E913" s="103"/>
      <c r="F913" s="103"/>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102"/>
      <c r="C914" s="103"/>
      <c r="D914" s="103"/>
      <c r="E914" s="103"/>
      <c r="F914" s="103"/>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102"/>
      <c r="C915" s="103"/>
      <c r="D915" s="103"/>
      <c r="E915" s="103"/>
      <c r="F915" s="103"/>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102"/>
      <c r="C916" s="103"/>
      <c r="D916" s="103"/>
      <c r="E916" s="103"/>
      <c r="F916" s="103"/>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102"/>
      <c r="C917" s="103"/>
      <c r="D917" s="103"/>
      <c r="E917" s="103"/>
      <c r="F917" s="103"/>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102"/>
      <c r="C918" s="103"/>
      <c r="D918" s="103"/>
      <c r="E918" s="103"/>
      <c r="F918" s="103"/>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102"/>
      <c r="C919" s="103"/>
      <c r="D919" s="103"/>
      <c r="E919" s="103"/>
      <c r="F919" s="103"/>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102"/>
      <c r="C920" s="103"/>
      <c r="D920" s="103"/>
      <c r="E920" s="103"/>
      <c r="F920" s="103"/>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102"/>
      <c r="C921" s="103"/>
      <c r="D921" s="103"/>
      <c r="E921" s="103"/>
      <c r="F921" s="103"/>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102"/>
      <c r="C922" s="103"/>
      <c r="D922" s="103"/>
      <c r="E922" s="103"/>
      <c r="F922" s="103"/>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102"/>
      <c r="C923" s="103"/>
      <c r="D923" s="103"/>
      <c r="E923" s="103"/>
      <c r="F923" s="103"/>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102"/>
      <c r="C924" s="103"/>
      <c r="D924" s="103"/>
      <c r="E924" s="103"/>
      <c r="F924" s="103"/>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102"/>
      <c r="C925" s="103"/>
      <c r="D925" s="103"/>
      <c r="E925" s="103"/>
      <c r="F925" s="103"/>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102"/>
      <c r="C926" s="103"/>
      <c r="D926" s="103"/>
      <c r="E926" s="103"/>
      <c r="F926" s="103"/>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102"/>
      <c r="C927" s="103"/>
      <c r="D927" s="103"/>
      <c r="E927" s="103"/>
      <c r="F927" s="103"/>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102"/>
      <c r="C928" s="103"/>
      <c r="D928" s="103"/>
      <c r="E928" s="103"/>
      <c r="F928" s="103"/>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102"/>
      <c r="C929" s="103"/>
      <c r="D929" s="103"/>
      <c r="E929" s="103"/>
      <c r="F929" s="103"/>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102"/>
      <c r="C930" s="103"/>
      <c r="D930" s="103"/>
      <c r="E930" s="103"/>
      <c r="F930" s="103"/>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102"/>
      <c r="C931" s="103"/>
      <c r="D931" s="103"/>
      <c r="E931" s="103"/>
      <c r="F931" s="103"/>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102"/>
      <c r="C932" s="103"/>
      <c r="D932" s="103"/>
      <c r="E932" s="103"/>
      <c r="F932" s="103"/>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102"/>
      <c r="C933" s="103"/>
      <c r="D933" s="103"/>
      <c r="E933" s="103"/>
      <c r="F933" s="103"/>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102"/>
      <c r="C934" s="103"/>
      <c r="D934" s="103"/>
      <c r="E934" s="103"/>
      <c r="F934" s="103"/>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102"/>
      <c r="C935" s="103"/>
      <c r="D935" s="103"/>
      <c r="E935" s="103"/>
      <c r="F935" s="103"/>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102"/>
      <c r="C936" s="103"/>
      <c r="D936" s="103"/>
      <c r="E936" s="103"/>
      <c r="F936" s="103"/>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102"/>
      <c r="C937" s="103"/>
      <c r="D937" s="103"/>
      <c r="E937" s="103"/>
      <c r="F937" s="103"/>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102"/>
      <c r="C938" s="103"/>
      <c r="D938" s="103"/>
      <c r="E938" s="103"/>
      <c r="F938" s="103"/>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102"/>
      <c r="C939" s="103"/>
      <c r="D939" s="103"/>
      <c r="E939" s="103"/>
      <c r="F939" s="103"/>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102"/>
      <c r="C940" s="103"/>
      <c r="D940" s="103"/>
      <c r="E940" s="103"/>
      <c r="F940" s="103"/>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102"/>
      <c r="C941" s="103"/>
      <c r="D941" s="103"/>
      <c r="E941" s="103"/>
      <c r="F941" s="103"/>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102"/>
      <c r="C942" s="103"/>
      <c r="D942" s="103"/>
      <c r="E942" s="103"/>
      <c r="F942" s="103"/>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102"/>
      <c r="C943" s="103"/>
      <c r="D943" s="103"/>
      <c r="E943" s="103"/>
      <c r="F943" s="103"/>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102"/>
      <c r="C944" s="103"/>
      <c r="D944" s="103"/>
      <c r="E944" s="103"/>
      <c r="F944" s="103"/>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102"/>
      <c r="C945" s="103"/>
      <c r="D945" s="103"/>
      <c r="E945" s="103"/>
      <c r="F945" s="103"/>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102"/>
      <c r="C946" s="103"/>
      <c r="D946" s="103"/>
      <c r="E946" s="103"/>
      <c r="F946" s="103"/>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102"/>
      <c r="C947" s="103"/>
      <c r="D947" s="103"/>
      <c r="E947" s="103"/>
      <c r="F947" s="103"/>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102"/>
      <c r="C948" s="103"/>
      <c r="D948" s="103"/>
      <c r="E948" s="103"/>
      <c r="F948" s="103"/>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102"/>
      <c r="C949" s="103"/>
      <c r="D949" s="103"/>
      <c r="E949" s="103"/>
      <c r="F949" s="103"/>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102"/>
      <c r="C950" s="103"/>
      <c r="D950" s="103"/>
      <c r="E950" s="103"/>
      <c r="F950" s="103"/>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102"/>
      <c r="C951" s="103"/>
      <c r="D951" s="103"/>
      <c r="E951" s="103"/>
      <c r="F951" s="103"/>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102"/>
      <c r="C952" s="103"/>
      <c r="D952" s="103"/>
      <c r="E952" s="103"/>
      <c r="F952" s="103"/>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102"/>
      <c r="C953" s="103"/>
      <c r="D953" s="103"/>
      <c r="E953" s="103"/>
      <c r="F953" s="103"/>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102"/>
      <c r="C954" s="103"/>
      <c r="D954" s="103"/>
      <c r="E954" s="103"/>
      <c r="F954" s="103"/>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102"/>
      <c r="C955" s="103"/>
      <c r="D955" s="103"/>
      <c r="E955" s="103"/>
      <c r="F955" s="103"/>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102"/>
      <c r="C956" s="103"/>
      <c r="D956" s="103"/>
      <c r="E956" s="103"/>
      <c r="F956" s="103"/>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102"/>
      <c r="C957" s="103"/>
      <c r="D957" s="103"/>
      <c r="E957" s="103"/>
      <c r="F957" s="103"/>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102"/>
      <c r="C958" s="103"/>
      <c r="D958" s="103"/>
      <c r="E958" s="103"/>
      <c r="F958" s="103"/>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102"/>
      <c r="C959" s="103"/>
      <c r="D959" s="103"/>
      <c r="E959" s="103"/>
      <c r="F959" s="103"/>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102"/>
      <c r="C960" s="103"/>
      <c r="D960" s="103"/>
      <c r="E960" s="103"/>
      <c r="F960" s="103"/>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102"/>
      <c r="C961" s="103"/>
      <c r="D961" s="103"/>
      <c r="E961" s="103"/>
      <c r="F961" s="103"/>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102"/>
      <c r="C962" s="103"/>
      <c r="D962" s="103"/>
      <c r="E962" s="103"/>
      <c r="F962" s="103"/>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102"/>
      <c r="C963" s="103"/>
      <c r="D963" s="103"/>
      <c r="E963" s="103"/>
      <c r="F963" s="103"/>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102"/>
      <c r="C964" s="103"/>
      <c r="D964" s="103"/>
      <c r="E964" s="103"/>
      <c r="F964" s="103"/>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102"/>
      <c r="C965" s="103"/>
      <c r="D965" s="103"/>
      <c r="E965" s="103"/>
      <c r="F965" s="103"/>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102"/>
      <c r="C966" s="103"/>
      <c r="D966" s="103"/>
      <c r="E966" s="103"/>
      <c r="F966" s="103"/>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102"/>
      <c r="C967" s="103"/>
      <c r="D967" s="103"/>
      <c r="E967" s="103"/>
      <c r="F967" s="103"/>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102"/>
      <c r="C968" s="103"/>
      <c r="D968" s="103"/>
      <c r="E968" s="103"/>
      <c r="F968" s="103"/>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102"/>
      <c r="C969" s="103"/>
      <c r="D969" s="103"/>
      <c r="E969" s="103"/>
      <c r="F969" s="103"/>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102"/>
      <c r="C970" s="103"/>
      <c r="D970" s="103"/>
      <c r="E970" s="103"/>
      <c r="F970" s="103"/>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102"/>
      <c r="C971" s="103"/>
      <c r="D971" s="103"/>
      <c r="E971" s="103"/>
      <c r="F971" s="103"/>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102"/>
      <c r="C972" s="103"/>
      <c r="D972" s="103"/>
      <c r="E972" s="103"/>
      <c r="F972" s="103"/>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102"/>
      <c r="C973" s="103"/>
      <c r="D973" s="103"/>
      <c r="E973" s="103"/>
      <c r="F973" s="103"/>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102"/>
      <c r="C974" s="103"/>
      <c r="D974" s="103"/>
      <c r="E974" s="103"/>
      <c r="F974" s="103"/>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102"/>
      <c r="C975" s="103"/>
      <c r="D975" s="103"/>
      <c r="E975" s="103"/>
      <c r="F975" s="103"/>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102"/>
      <c r="C976" s="103"/>
      <c r="D976" s="103"/>
      <c r="E976" s="103"/>
      <c r="F976" s="103"/>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102"/>
      <c r="C977" s="103"/>
      <c r="D977" s="103"/>
      <c r="E977" s="103"/>
      <c r="F977" s="103"/>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102"/>
      <c r="C978" s="103"/>
      <c r="D978" s="103"/>
      <c r="E978" s="103"/>
      <c r="F978" s="103"/>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102"/>
      <c r="C979" s="103"/>
      <c r="D979" s="103"/>
      <c r="E979" s="103"/>
      <c r="F979" s="103"/>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102"/>
      <c r="C980" s="103"/>
      <c r="D980" s="103"/>
      <c r="E980" s="103"/>
      <c r="F980" s="103"/>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102"/>
      <c r="C981" s="103"/>
      <c r="D981" s="103"/>
      <c r="E981" s="103"/>
      <c r="F981" s="103"/>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102"/>
      <c r="C982" s="103"/>
      <c r="D982" s="103"/>
      <c r="E982" s="103"/>
      <c r="F982" s="103"/>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102"/>
      <c r="C983" s="103"/>
      <c r="D983" s="103"/>
      <c r="E983" s="103"/>
      <c r="F983" s="103"/>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102"/>
      <c r="C984" s="103"/>
      <c r="D984" s="103"/>
      <c r="E984" s="103"/>
      <c r="F984" s="103"/>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102"/>
      <c r="C985" s="103"/>
      <c r="D985" s="103"/>
      <c r="E985" s="103"/>
      <c r="F985" s="103"/>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102"/>
      <c r="C986" s="103"/>
      <c r="D986" s="103"/>
      <c r="E986" s="103"/>
      <c r="F986" s="103"/>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102"/>
      <c r="C987" s="103"/>
      <c r="D987" s="103"/>
      <c r="E987" s="103"/>
      <c r="F987" s="103"/>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102"/>
      <c r="C988" s="103"/>
      <c r="D988" s="103"/>
      <c r="E988" s="103"/>
      <c r="F988" s="103"/>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102"/>
      <c r="C989" s="103"/>
      <c r="D989" s="103"/>
      <c r="E989" s="103"/>
      <c r="F989" s="103"/>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102"/>
      <c r="C990" s="103"/>
      <c r="D990" s="103"/>
      <c r="E990" s="103"/>
      <c r="F990" s="103"/>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102"/>
      <c r="C991" s="103"/>
      <c r="D991" s="103"/>
      <c r="E991" s="103"/>
      <c r="F991" s="103"/>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102"/>
      <c r="C992" s="103"/>
      <c r="D992" s="103"/>
      <c r="E992" s="103"/>
      <c r="F992" s="103"/>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102"/>
      <c r="C993" s="103"/>
      <c r="D993" s="103"/>
      <c r="E993" s="103"/>
      <c r="F993" s="103"/>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102"/>
      <c r="C994" s="103"/>
      <c r="D994" s="103"/>
      <c r="E994" s="103"/>
      <c r="F994" s="103"/>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102"/>
      <c r="C995" s="103"/>
      <c r="D995" s="103"/>
      <c r="E995" s="103"/>
      <c r="F995" s="103"/>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102"/>
      <c r="C996" s="103"/>
      <c r="D996" s="103"/>
      <c r="E996" s="103"/>
      <c r="F996" s="103"/>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102"/>
      <c r="C997" s="103"/>
      <c r="D997" s="103"/>
      <c r="E997" s="103"/>
      <c r="F997" s="103"/>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102"/>
      <c r="C998" s="103"/>
      <c r="D998" s="103"/>
      <c r="E998" s="103"/>
      <c r="F998" s="103"/>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102"/>
      <c r="C999" s="103"/>
      <c r="D999" s="103"/>
      <c r="E999" s="103"/>
      <c r="F999" s="103"/>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102"/>
      <c r="C1000" s="103"/>
      <c r="D1000" s="103"/>
      <c r="E1000" s="103"/>
      <c r="F1000" s="103"/>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3:C3"/>
    <mergeCell ref="D3:F3"/>
    <mergeCell ref="B4:C4"/>
    <mergeCell ref="D4:F4"/>
    <mergeCell ref="B5:C5"/>
    <mergeCell ref="D5:F5"/>
  </mergeCells>
  <hyperlinks>
    <hyperlink ref="D9" location="'Feature 1'!A1" display="Feature1"/>
    <hyperlink ref="D10" location="'Feature 2'!A1" display="Feature2"/>
    <hyperlink ref="D11" location="'Feature 3'!A1" display="Feature3"/>
    <hyperlink ref="D12" location="'Feature 4'!A1" display="Feature4"/>
    <hyperlink ref="D13" location="'Feature 5'!A1" display="Feature5"/>
  </hyperlinks>
  <pageMargins left="0.747916666666667" right="0.747916666666667" top="0.984027777777778" bottom="1.15069444444444" header="0" footer="0"/>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workbookViewId="0">
      <selection activeCell="A1" sqref="A1"/>
    </sheetView>
  </sheetViews>
  <sheetFormatPr defaultColWidth="12.6296296296296" defaultRowHeight="15" customHeight="1"/>
  <cols>
    <col min="1" max="1" width="4.5" customWidth="1"/>
    <col min="2" max="2" width="18.3796296296296" customWidth="1"/>
    <col min="3" max="3" width="19.3796296296296" customWidth="1"/>
    <col min="4" max="6" width="11.6296296296296" customWidth="1"/>
    <col min="7" max="7" width="9" customWidth="1"/>
    <col min="8" max="8" width="35.5" customWidth="1"/>
    <col min="9" max="26" width="9" customWidth="1"/>
  </cols>
  <sheetData>
    <row r="1" ht="25.5" customHeight="1" spans="1:26">
      <c r="A1" s="1"/>
      <c r="B1" s="67" t="s">
        <v>46</v>
      </c>
      <c r="C1" s="68"/>
      <c r="D1" s="68"/>
      <c r="E1" s="68"/>
      <c r="F1" s="68"/>
      <c r="G1" s="68"/>
      <c r="H1" s="68"/>
      <c r="I1" s="1"/>
      <c r="J1" s="1"/>
      <c r="K1" s="1"/>
      <c r="L1" s="1"/>
      <c r="M1" s="1"/>
      <c r="N1" s="1"/>
      <c r="O1" s="1"/>
      <c r="P1" s="1"/>
      <c r="Q1" s="1"/>
      <c r="R1" s="1"/>
      <c r="S1" s="1"/>
      <c r="T1" s="1"/>
      <c r="U1" s="1"/>
      <c r="V1" s="1"/>
      <c r="W1" s="1"/>
      <c r="X1" s="1"/>
      <c r="Y1" s="1"/>
      <c r="Z1" s="1"/>
    </row>
    <row r="2" ht="14.25" customHeight="1" spans="1:26">
      <c r="A2" s="69"/>
      <c r="B2" s="69"/>
      <c r="C2" s="1"/>
      <c r="D2" s="1"/>
      <c r="E2" s="1"/>
      <c r="F2" s="1"/>
      <c r="G2" s="1"/>
      <c r="H2" s="70"/>
      <c r="I2" s="1"/>
      <c r="J2" s="1"/>
      <c r="K2" s="1"/>
      <c r="L2" s="1"/>
      <c r="M2" s="1"/>
      <c r="N2" s="1"/>
      <c r="O2" s="1"/>
      <c r="P2" s="1"/>
      <c r="Q2" s="1"/>
      <c r="R2" s="1"/>
      <c r="S2" s="1"/>
      <c r="T2" s="1"/>
      <c r="U2" s="1"/>
      <c r="V2" s="1"/>
      <c r="W2" s="1"/>
      <c r="X2" s="1"/>
      <c r="Y2" s="1"/>
      <c r="Z2" s="1"/>
    </row>
    <row r="3" ht="12" customHeight="1" spans="1:26">
      <c r="A3" s="1"/>
      <c r="B3" s="71" t="s">
        <v>1</v>
      </c>
      <c r="C3" s="72" t="s">
        <v>47</v>
      </c>
      <c r="D3" s="73"/>
      <c r="E3" s="74" t="s">
        <v>3</v>
      </c>
      <c r="F3" s="73"/>
      <c r="G3" s="75"/>
      <c r="H3" s="76"/>
      <c r="I3" s="1"/>
      <c r="J3" s="1"/>
      <c r="K3" s="1"/>
      <c r="L3" s="1"/>
      <c r="M3" s="1"/>
      <c r="N3" s="1"/>
      <c r="O3" s="1"/>
      <c r="P3" s="1"/>
      <c r="Q3" s="1"/>
      <c r="R3" s="1"/>
      <c r="S3" s="1"/>
      <c r="T3" s="1"/>
      <c r="U3" s="1"/>
      <c r="V3" s="1"/>
      <c r="W3" s="1"/>
      <c r="X3" s="1"/>
      <c r="Y3" s="1"/>
      <c r="Z3" s="1"/>
    </row>
    <row r="4" ht="12" customHeight="1" spans="1:26">
      <c r="A4" s="1"/>
      <c r="B4" s="71" t="s">
        <v>5</v>
      </c>
      <c r="C4" s="72" t="s">
        <v>48</v>
      </c>
      <c r="D4" s="73"/>
      <c r="E4" s="74" t="s">
        <v>49</v>
      </c>
      <c r="F4" s="73"/>
      <c r="G4" s="75"/>
      <c r="H4" s="76"/>
      <c r="I4" s="1"/>
      <c r="J4" s="1"/>
      <c r="K4" s="1"/>
      <c r="L4" s="1"/>
      <c r="M4" s="1"/>
      <c r="N4" s="1"/>
      <c r="O4" s="1"/>
      <c r="P4" s="1"/>
      <c r="Q4" s="1"/>
      <c r="R4" s="1"/>
      <c r="S4" s="1"/>
      <c r="T4" s="1"/>
      <c r="U4" s="1"/>
      <c r="V4" s="1"/>
      <c r="W4" s="1"/>
      <c r="X4" s="1"/>
      <c r="Y4" s="1"/>
      <c r="Z4" s="1"/>
    </row>
    <row r="5" ht="12" customHeight="1" spans="1:26">
      <c r="A5" s="1"/>
      <c r="B5" s="77" t="s">
        <v>8</v>
      </c>
      <c r="C5" s="72" t="str">
        <f>C4&amp;"_"&amp;"Test Report"&amp;"_"&amp;"vx.x"</f>
        <v>&lt;Project Code&gt;_Test Report_vx.x</v>
      </c>
      <c r="D5" s="73"/>
      <c r="E5" s="74" t="s">
        <v>7</v>
      </c>
      <c r="F5" s="73"/>
      <c r="G5" s="75"/>
      <c r="H5" s="78" t="s">
        <v>50</v>
      </c>
      <c r="I5" s="1"/>
      <c r="J5" s="1"/>
      <c r="K5" s="1"/>
      <c r="L5" s="1"/>
      <c r="M5" s="1"/>
      <c r="N5" s="1"/>
      <c r="O5" s="1"/>
      <c r="P5" s="1"/>
      <c r="Q5" s="1"/>
      <c r="R5" s="1"/>
      <c r="S5" s="1"/>
      <c r="T5" s="1"/>
      <c r="U5" s="1"/>
      <c r="V5" s="1"/>
      <c r="W5" s="1"/>
      <c r="X5" s="1"/>
      <c r="Y5" s="1"/>
      <c r="Z5" s="1"/>
    </row>
    <row r="6" ht="21.75" customHeight="1" spans="1:26">
      <c r="A6" s="69"/>
      <c r="B6" s="77" t="s">
        <v>51</v>
      </c>
      <c r="C6" s="79" t="s">
        <v>52</v>
      </c>
      <c r="D6" s="11"/>
      <c r="E6" s="11"/>
      <c r="F6" s="11"/>
      <c r="G6" s="11"/>
      <c r="H6" s="73"/>
      <c r="I6" s="1"/>
      <c r="J6" s="1"/>
      <c r="K6" s="1"/>
      <c r="L6" s="1"/>
      <c r="M6" s="1"/>
      <c r="N6" s="1"/>
      <c r="O6" s="1"/>
      <c r="P6" s="1"/>
      <c r="Q6" s="1"/>
      <c r="R6" s="1"/>
      <c r="S6" s="1"/>
      <c r="T6" s="1"/>
      <c r="U6" s="1"/>
      <c r="V6" s="1"/>
      <c r="W6" s="1"/>
      <c r="X6" s="1"/>
      <c r="Y6" s="1"/>
      <c r="Z6" s="1"/>
    </row>
    <row r="7" ht="14.25" customHeight="1" spans="1:26">
      <c r="A7" s="69"/>
      <c r="B7" s="80"/>
      <c r="C7" s="81"/>
      <c r="D7" s="1"/>
      <c r="E7" s="1"/>
      <c r="F7" s="1"/>
      <c r="G7" s="1"/>
      <c r="H7" s="70"/>
      <c r="I7" s="1"/>
      <c r="J7" s="1"/>
      <c r="K7" s="1"/>
      <c r="L7" s="1"/>
      <c r="M7" s="1"/>
      <c r="N7" s="1"/>
      <c r="O7" s="1"/>
      <c r="P7" s="1"/>
      <c r="Q7" s="1"/>
      <c r="R7" s="1"/>
      <c r="S7" s="1"/>
      <c r="T7" s="1"/>
      <c r="U7" s="1"/>
      <c r="V7" s="1"/>
      <c r="W7" s="1"/>
      <c r="X7" s="1"/>
      <c r="Y7" s="1"/>
      <c r="Z7" s="1"/>
    </row>
    <row r="8" ht="12.75" customHeight="1" spans="1:26">
      <c r="A8" s="1"/>
      <c r="B8" s="80"/>
      <c r="C8" s="81"/>
      <c r="D8" s="1"/>
      <c r="E8" s="1"/>
      <c r="F8" s="1"/>
      <c r="G8" s="1"/>
      <c r="H8" s="70"/>
      <c r="I8" s="1"/>
      <c r="J8" s="1"/>
      <c r="K8" s="1"/>
      <c r="L8" s="1"/>
      <c r="M8" s="1"/>
      <c r="N8" s="1"/>
      <c r="O8" s="1"/>
      <c r="P8" s="1"/>
      <c r="Q8" s="1"/>
      <c r="R8" s="1"/>
      <c r="S8" s="1"/>
      <c r="T8" s="1"/>
      <c r="U8" s="1"/>
      <c r="V8" s="1"/>
      <c r="W8" s="1"/>
      <c r="X8" s="1"/>
      <c r="Y8" s="1"/>
      <c r="Z8" s="1"/>
    </row>
    <row r="9" ht="12.75" customHeight="1" spans="1:26">
      <c r="A9" s="1"/>
      <c r="B9" s="1"/>
      <c r="C9" s="1"/>
      <c r="D9" s="1"/>
      <c r="E9" s="1"/>
      <c r="F9" s="1"/>
      <c r="G9" s="1"/>
      <c r="H9" s="1"/>
      <c r="I9" s="1"/>
      <c r="J9" s="1"/>
      <c r="K9" s="1"/>
      <c r="L9" s="1"/>
      <c r="M9" s="1"/>
      <c r="N9" s="1"/>
      <c r="O9" s="1"/>
      <c r="P9" s="1"/>
      <c r="Q9" s="1"/>
      <c r="R9" s="1"/>
      <c r="S9" s="1"/>
      <c r="T9" s="1"/>
      <c r="U9" s="1"/>
      <c r="V9" s="1"/>
      <c r="W9" s="1"/>
      <c r="X9" s="1"/>
      <c r="Y9" s="1"/>
      <c r="Z9" s="1"/>
    </row>
    <row r="10" ht="12.75" customHeight="1" spans="1:26">
      <c r="A10" s="82"/>
      <c r="B10" s="83" t="s">
        <v>21</v>
      </c>
      <c r="C10" s="84" t="s">
        <v>53</v>
      </c>
      <c r="D10" s="85" t="s">
        <v>54</v>
      </c>
      <c r="E10" s="84" t="s">
        <v>55</v>
      </c>
      <c r="F10" s="84" t="s">
        <v>56</v>
      </c>
      <c r="G10" s="86" t="s">
        <v>57</v>
      </c>
      <c r="H10" s="87" t="s">
        <v>58</v>
      </c>
      <c r="I10" s="1"/>
      <c r="J10" s="1"/>
      <c r="K10" s="1"/>
      <c r="L10" s="1"/>
      <c r="M10" s="1"/>
      <c r="N10" s="1"/>
      <c r="O10" s="1"/>
      <c r="P10" s="1"/>
      <c r="Q10" s="1"/>
      <c r="R10" s="1"/>
      <c r="S10" s="1"/>
      <c r="T10" s="1"/>
      <c r="U10" s="1"/>
      <c r="V10" s="1"/>
      <c r="W10" s="1"/>
      <c r="X10" s="1"/>
      <c r="Y10" s="1"/>
      <c r="Z10" s="1"/>
    </row>
    <row r="11" ht="12.75" customHeight="1" spans="1:26">
      <c r="A11" s="82"/>
      <c r="B11" s="88">
        <v>1</v>
      </c>
      <c r="C11" s="89" t="str">
        <f>'Feature 1'!B2</f>
        <v>Training Content &amp; Curriculum Management</v>
      </c>
      <c r="D11" s="90">
        <f>'Feature 1'!B6</f>
        <v>50</v>
      </c>
      <c r="E11" s="90">
        <f>'Feature 1'!C6</f>
        <v>0</v>
      </c>
      <c r="F11" s="90">
        <f>'Feature 1'!D6</f>
        <v>0</v>
      </c>
      <c r="G11" s="90">
        <f>'Feature 1'!E6</f>
        <v>0</v>
      </c>
      <c r="H11" s="91">
        <f>'Feature 1'!B4</f>
        <v>56</v>
      </c>
      <c r="I11" s="1"/>
      <c r="J11" s="1"/>
      <c r="K11" s="1"/>
      <c r="L11" s="1"/>
      <c r="M11" s="1"/>
      <c r="N11" s="1"/>
      <c r="O11" s="1"/>
      <c r="P11" s="1"/>
      <c r="Q11" s="1"/>
      <c r="R11" s="1"/>
      <c r="S11" s="1"/>
      <c r="T11" s="1"/>
      <c r="U11" s="1"/>
      <c r="V11" s="1"/>
      <c r="W11" s="1"/>
      <c r="X11" s="1"/>
      <c r="Y11" s="1"/>
      <c r="Z11" s="1"/>
    </row>
    <row r="12" ht="12.75" customHeight="1" spans="1:26">
      <c r="A12" s="82"/>
      <c r="B12" s="88">
        <v>2</v>
      </c>
      <c r="C12" s="89" t="str">
        <f>'Feature 2'!B2</f>
        <v>Trainee Enrollment &amp; Learning Process</v>
      </c>
      <c r="D12" s="90">
        <f>'Feature 2'!B6</f>
        <v>73</v>
      </c>
      <c r="E12" s="90">
        <f>'Feature 2'!C6</f>
        <v>0</v>
      </c>
      <c r="F12" s="90">
        <f>'Feature 2'!D6</f>
        <v>0</v>
      </c>
      <c r="G12" s="90">
        <f>'Feature 2'!E6</f>
        <v>0</v>
      </c>
      <c r="H12" s="90">
        <f>'Feature 2'!B4</f>
        <v>73</v>
      </c>
      <c r="I12" s="1"/>
      <c r="J12" s="1"/>
      <c r="K12" s="1"/>
      <c r="L12" s="1"/>
      <c r="M12" s="1"/>
      <c r="N12" s="1"/>
      <c r="O12" s="1"/>
      <c r="P12" s="1"/>
      <c r="Q12" s="1"/>
      <c r="R12" s="1"/>
      <c r="S12" s="1"/>
      <c r="T12" s="1"/>
      <c r="U12" s="1"/>
      <c r="V12" s="1"/>
      <c r="W12" s="1"/>
      <c r="X12" s="1"/>
      <c r="Y12" s="1"/>
      <c r="Z12" s="1"/>
    </row>
    <row r="13" ht="12.75" customHeight="1" spans="1:26">
      <c r="A13" s="82"/>
      <c r="B13" s="88">
        <v>3</v>
      </c>
      <c r="C13" s="89" t="str">
        <f>'Feature 3'!B2</f>
        <v>Simulation Integration &amp; Practice Session</v>
      </c>
      <c r="D13" s="90">
        <f>'Feature 3'!B6</f>
        <v>9</v>
      </c>
      <c r="E13" s="90">
        <f>'Feature 3'!C6</f>
        <v>0</v>
      </c>
      <c r="F13" s="90">
        <f>'Feature 3'!D6</f>
        <v>0</v>
      </c>
      <c r="G13" s="92">
        <f>'Feature 3'!E6</f>
        <v>0</v>
      </c>
      <c r="H13" s="92">
        <f>'Feature 3'!B4</f>
        <v>9</v>
      </c>
      <c r="I13" s="1"/>
      <c r="J13" s="1"/>
      <c r="K13" s="1"/>
      <c r="L13" s="1"/>
      <c r="M13" s="1"/>
      <c r="N13" s="1"/>
      <c r="O13" s="1"/>
      <c r="P13" s="1"/>
      <c r="Q13" s="1"/>
      <c r="R13" s="1"/>
      <c r="S13" s="1"/>
      <c r="T13" s="1"/>
      <c r="U13" s="1"/>
      <c r="V13" s="1"/>
      <c r="W13" s="1"/>
      <c r="X13" s="1"/>
      <c r="Y13" s="1"/>
      <c r="Z13" s="1"/>
    </row>
    <row r="14" ht="12.75" customHeight="1" spans="1:26">
      <c r="A14" s="82"/>
      <c r="B14" s="88">
        <v>4</v>
      </c>
      <c r="C14" s="89" t="str">
        <f>'Feature 4'!B2</f>
        <v>Trainee Final Exam Module</v>
      </c>
      <c r="D14" s="90">
        <f>'Feature 4'!B6</f>
        <v>36</v>
      </c>
      <c r="E14" s="90">
        <f>'Feature 4'!C6</f>
        <v>0</v>
      </c>
      <c r="F14" s="90">
        <f>'Feature 4'!D6</f>
        <v>0</v>
      </c>
      <c r="G14" s="92">
        <f>'Feature 4'!E6</f>
        <v>0</v>
      </c>
      <c r="H14" s="92">
        <f>'Feature 4'!B4</f>
        <v>36</v>
      </c>
      <c r="I14" s="1"/>
      <c r="J14" s="1"/>
      <c r="K14" s="1"/>
      <c r="L14" s="1"/>
      <c r="M14" s="1"/>
      <c r="N14" s="1"/>
      <c r="O14" s="1"/>
      <c r="P14" s="1"/>
      <c r="Q14" s="1"/>
      <c r="R14" s="1"/>
      <c r="S14" s="1"/>
      <c r="T14" s="1"/>
      <c r="U14" s="1"/>
      <c r="V14" s="1"/>
      <c r="W14" s="1"/>
      <c r="X14" s="1"/>
      <c r="Y14" s="1"/>
      <c r="Z14" s="1"/>
    </row>
    <row r="15" ht="12.75" customHeight="1" spans="1:26">
      <c r="A15" s="82"/>
      <c r="B15" s="88">
        <v>5</v>
      </c>
      <c r="C15" s="89" t="str">
        <f>'Feature 5'!B2</f>
        <v>Dashboard management</v>
      </c>
      <c r="D15" s="90">
        <f>'Feature 5'!B6</f>
        <v>23</v>
      </c>
      <c r="E15" s="90">
        <f>'Feature 4'!C6</f>
        <v>0</v>
      </c>
      <c r="F15" s="90">
        <f>'Feature 5'!D6</f>
        <v>0</v>
      </c>
      <c r="G15" s="92">
        <f>'Feature 5'!E6</f>
        <v>0</v>
      </c>
      <c r="H15" s="91">
        <f>'Feature 5'!B4</f>
        <v>23</v>
      </c>
      <c r="I15" s="1"/>
      <c r="J15" s="1"/>
      <c r="K15" s="1"/>
      <c r="L15" s="1"/>
      <c r="M15" s="1"/>
      <c r="N15" s="1"/>
      <c r="O15" s="1"/>
      <c r="P15" s="1"/>
      <c r="Q15" s="1"/>
      <c r="R15" s="1"/>
      <c r="S15" s="1"/>
      <c r="T15" s="1"/>
      <c r="U15" s="1"/>
      <c r="V15" s="1"/>
      <c r="W15" s="1"/>
      <c r="X15" s="1"/>
      <c r="Y15" s="1"/>
      <c r="Z15" s="1"/>
    </row>
    <row r="16" ht="12.75" customHeight="1" spans="1:26">
      <c r="A16" s="82"/>
      <c r="B16" s="93"/>
      <c r="C16" s="94" t="s">
        <v>59</v>
      </c>
      <c r="D16" s="95">
        <f t="shared" ref="D16:H16" si="0">SUM(D9:D15)</f>
        <v>191</v>
      </c>
      <c r="E16" s="95">
        <f t="shared" si="0"/>
        <v>0</v>
      </c>
      <c r="F16" s="95">
        <f t="shared" si="0"/>
        <v>0</v>
      </c>
      <c r="G16" s="95">
        <f t="shared" si="0"/>
        <v>0</v>
      </c>
      <c r="H16" s="96">
        <f t="shared" si="0"/>
        <v>197</v>
      </c>
      <c r="I16" s="1"/>
      <c r="J16" s="1"/>
      <c r="K16" s="1"/>
      <c r="L16" s="1"/>
      <c r="M16" s="1"/>
      <c r="N16" s="1"/>
      <c r="O16" s="1"/>
      <c r="P16" s="1"/>
      <c r="Q16" s="1"/>
      <c r="R16" s="1"/>
      <c r="S16" s="1"/>
      <c r="T16" s="1"/>
      <c r="U16" s="1"/>
      <c r="V16" s="1"/>
      <c r="W16" s="1"/>
      <c r="X16" s="1"/>
      <c r="Y16" s="1"/>
      <c r="Z16" s="1"/>
    </row>
    <row r="17" ht="12.75" customHeight="1" spans="1:26">
      <c r="A17" s="1"/>
      <c r="B17" s="97"/>
      <c r="C17" s="1"/>
      <c r="D17" s="98"/>
      <c r="E17" s="99"/>
      <c r="F17" s="99"/>
      <c r="G17" s="99"/>
      <c r="H17" s="99"/>
      <c r="I17" s="1"/>
      <c r="J17" s="1"/>
      <c r="K17" s="1"/>
      <c r="L17" s="1"/>
      <c r="M17" s="1"/>
      <c r="N17" s="1"/>
      <c r="O17" s="1"/>
      <c r="P17" s="1"/>
      <c r="Q17" s="1"/>
      <c r="R17" s="1"/>
      <c r="S17" s="1"/>
      <c r="T17" s="1"/>
      <c r="U17" s="1"/>
      <c r="V17" s="1"/>
      <c r="W17" s="1"/>
      <c r="X17" s="1"/>
      <c r="Y17" s="1"/>
      <c r="Z17" s="1"/>
    </row>
    <row r="18" ht="12.75" customHeight="1" spans="1:26">
      <c r="A18" s="1"/>
      <c r="B18" s="1"/>
      <c r="C18" s="100" t="s">
        <v>60</v>
      </c>
      <c r="D18" s="1"/>
      <c r="E18" s="101">
        <f>(D16+E16)*100/(H16-G16)</f>
        <v>96.9543147208122</v>
      </c>
      <c r="F18" s="1" t="s">
        <v>61</v>
      </c>
      <c r="G18" s="1"/>
      <c r="H18" s="24"/>
      <c r="I18" s="1"/>
      <c r="J18" s="1"/>
      <c r="K18" s="1"/>
      <c r="L18" s="1"/>
      <c r="M18" s="1"/>
      <c r="N18" s="1"/>
      <c r="O18" s="1"/>
      <c r="P18" s="1"/>
      <c r="Q18" s="1"/>
      <c r="R18" s="1"/>
      <c r="S18" s="1"/>
      <c r="T18" s="1"/>
      <c r="U18" s="1"/>
      <c r="V18" s="1"/>
      <c r="W18" s="1"/>
      <c r="X18" s="1"/>
      <c r="Y18" s="1"/>
      <c r="Z18" s="1"/>
    </row>
    <row r="19" ht="12.75" customHeight="1" spans="1:26">
      <c r="A19" s="1"/>
      <c r="B19" s="1"/>
      <c r="C19" s="100" t="s">
        <v>62</v>
      </c>
      <c r="D19" s="1"/>
      <c r="E19" s="101">
        <f>D16*100/(H16-G16)</f>
        <v>96.9543147208122</v>
      </c>
      <c r="F19" s="1" t="s">
        <v>61</v>
      </c>
      <c r="G19" s="1"/>
      <c r="H19" s="24"/>
      <c r="I19" s="1"/>
      <c r="J19" s="1"/>
      <c r="K19" s="1"/>
      <c r="L19" s="1"/>
      <c r="M19" s="1"/>
      <c r="N19" s="1"/>
      <c r="O19" s="1"/>
      <c r="P19" s="1"/>
      <c r="Q19" s="1"/>
      <c r="R19" s="1"/>
      <c r="S19" s="1"/>
      <c r="T19" s="1"/>
      <c r="U19" s="1"/>
      <c r="V19" s="1"/>
      <c r="W19" s="1"/>
      <c r="X19" s="1"/>
      <c r="Y19" s="1"/>
      <c r="Z19" s="1"/>
    </row>
    <row r="20" ht="12.75"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1:H1"/>
    <mergeCell ref="C3:D3"/>
    <mergeCell ref="E3:F3"/>
    <mergeCell ref="C4:D4"/>
    <mergeCell ref="E4:F4"/>
    <mergeCell ref="C5:D5"/>
    <mergeCell ref="E5:F5"/>
    <mergeCell ref="C6:H6"/>
  </mergeCells>
  <pageMargins left="0.747916666666667" right="0.747916666666667" top="0.984027777777778" bottom="0.984027777777778" header="0" footer="0"/>
  <pageSetup paperSize="1"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27"/>
  <sheetViews>
    <sheetView workbookViewId="0">
      <pane ySplit="10" topLeftCell="A11" activePane="bottomLeft" state="frozen"/>
      <selection/>
      <selection pane="bottomLeft" activeCell="B12" sqref="B12"/>
    </sheetView>
  </sheetViews>
  <sheetFormatPr defaultColWidth="12.6296296296296" defaultRowHeight="15" customHeight="1"/>
  <cols>
    <col min="1" max="1" width="17" customWidth="1"/>
    <col min="2" max="2" width="34.5" customWidth="1"/>
    <col min="3" max="3" width="34.1296296296296" customWidth="1"/>
    <col min="4" max="4" width="71.75" customWidth="1"/>
    <col min="5" max="5" width="56.5" customWidth="1"/>
    <col min="6" max="6" width="9.37962962962963" customWidth="1"/>
    <col min="7" max="7" width="10.6296296296296" customWidth="1" outlineLevel="1"/>
    <col min="8" max="8" width="7" customWidth="1" outlineLevel="1"/>
    <col min="9" max="9" width="9.37962962962963" customWidth="1"/>
    <col min="10" max="10" width="10.6296296296296" customWidth="1" outlineLevel="1"/>
    <col min="11" max="11" width="7" customWidth="1" outlineLevel="1"/>
    <col min="12" max="12" width="9.37962962962963" customWidth="1"/>
    <col min="13" max="13" width="10.6296296296296" customWidth="1" outlineLevel="1"/>
    <col min="14" max="14" width="7"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54"/>
      <c r="C1" s="55"/>
      <c r="D1" s="55"/>
      <c r="E1" s="55"/>
      <c r="F1" s="1"/>
      <c r="G1" s="1"/>
      <c r="H1" s="1"/>
      <c r="I1" s="1"/>
      <c r="J1" s="1"/>
      <c r="K1" s="1"/>
      <c r="L1" s="1"/>
      <c r="M1" s="1"/>
      <c r="N1" s="1"/>
      <c r="O1" s="1"/>
      <c r="P1" s="1"/>
      <c r="Q1" s="35"/>
      <c r="R1" s="1"/>
      <c r="S1" s="1"/>
      <c r="T1" s="1"/>
      <c r="U1" s="1"/>
      <c r="V1" s="1"/>
      <c r="W1" s="1"/>
      <c r="X1" s="1"/>
      <c r="Y1" s="1"/>
      <c r="Z1" s="1"/>
    </row>
    <row r="2" customHeight="1" spans="1:26">
      <c r="A2" s="2" t="s">
        <v>63</v>
      </c>
      <c r="B2" s="56" t="s">
        <v>26</v>
      </c>
      <c r="C2" s="57"/>
      <c r="D2" s="57"/>
      <c r="E2" s="58"/>
      <c r="F2" s="6"/>
      <c r="G2" s="6"/>
      <c r="H2" s="6"/>
      <c r="I2" s="6"/>
      <c r="J2" s="6"/>
      <c r="K2" s="6"/>
      <c r="L2" s="6"/>
      <c r="M2" s="7"/>
      <c r="N2" s="8"/>
      <c r="O2" s="8"/>
      <c r="P2" s="8"/>
      <c r="Q2" s="36"/>
      <c r="R2" s="34" t="s">
        <v>54</v>
      </c>
      <c r="S2" s="34"/>
      <c r="T2" s="34"/>
      <c r="U2" s="34"/>
      <c r="V2" s="34"/>
      <c r="W2" s="34"/>
      <c r="X2" s="34"/>
      <c r="Y2" s="34"/>
      <c r="Z2" s="34"/>
    </row>
    <row r="3" ht="12.75" customHeight="1" spans="1:26">
      <c r="A3" s="9" t="s">
        <v>64</v>
      </c>
      <c r="B3" s="59" t="s">
        <v>65</v>
      </c>
      <c r="E3" s="60"/>
      <c r="F3" s="6"/>
      <c r="G3" s="6"/>
      <c r="H3" s="6"/>
      <c r="I3" s="6"/>
      <c r="J3" s="6"/>
      <c r="K3" s="6"/>
      <c r="L3" s="6"/>
      <c r="M3" s="7"/>
      <c r="N3" s="8"/>
      <c r="O3" s="8"/>
      <c r="P3" s="8"/>
      <c r="Q3" s="36"/>
      <c r="R3" s="34" t="s">
        <v>55</v>
      </c>
      <c r="S3" s="34"/>
      <c r="T3" s="34"/>
      <c r="U3" s="34"/>
      <c r="V3" s="34"/>
      <c r="W3" s="34"/>
      <c r="X3" s="34"/>
      <c r="Y3" s="34"/>
      <c r="Z3" s="34"/>
    </row>
    <row r="4" ht="18" customHeight="1" spans="1:26">
      <c r="A4" s="9" t="s">
        <v>66</v>
      </c>
      <c r="B4" s="10">
        <f>COUNTA(A12:A1022)</f>
        <v>56</v>
      </c>
      <c r="C4" s="11"/>
      <c r="D4" s="11"/>
      <c r="E4" s="12"/>
      <c r="F4" s="6"/>
      <c r="G4" s="6"/>
      <c r="H4" s="6"/>
      <c r="I4" s="6"/>
      <c r="J4" s="6"/>
      <c r="K4" s="6"/>
      <c r="L4" s="6"/>
      <c r="M4" s="7"/>
      <c r="N4" s="8"/>
      <c r="O4" s="8"/>
      <c r="P4" s="8"/>
      <c r="Q4" s="36"/>
      <c r="R4" s="34" t="s">
        <v>56</v>
      </c>
      <c r="S4" s="34"/>
      <c r="T4" s="34"/>
      <c r="U4" s="34"/>
      <c r="V4" s="34"/>
      <c r="W4" s="34"/>
      <c r="X4" s="34"/>
      <c r="Y4" s="34"/>
      <c r="Z4" s="34"/>
    </row>
    <row r="5" ht="19.5" customHeight="1" spans="1:26">
      <c r="A5" s="13" t="s">
        <v>67</v>
      </c>
      <c r="B5" s="14" t="s">
        <v>54</v>
      </c>
      <c r="C5" s="14" t="s">
        <v>55</v>
      </c>
      <c r="D5" s="14" t="s">
        <v>56</v>
      </c>
      <c r="E5" s="15" t="s">
        <v>57</v>
      </c>
      <c r="F5" s="6"/>
      <c r="G5" s="6"/>
      <c r="H5" s="6"/>
      <c r="I5" s="6"/>
      <c r="J5" s="6"/>
      <c r="K5" s="6"/>
      <c r="L5" s="16"/>
      <c r="M5" s="16"/>
      <c r="N5" s="17"/>
      <c r="O5" s="17"/>
      <c r="P5" s="17"/>
      <c r="Q5" s="37"/>
      <c r="R5" s="34" t="s">
        <v>57</v>
      </c>
      <c r="S5" s="34"/>
      <c r="T5" s="34"/>
      <c r="U5" s="34"/>
      <c r="V5" s="34"/>
      <c r="W5" s="34"/>
      <c r="X5" s="34"/>
      <c r="Y5" s="34"/>
      <c r="Z5" s="34"/>
    </row>
    <row r="6" customHeight="1" spans="1:26">
      <c r="A6" s="13" t="s">
        <v>68</v>
      </c>
      <c r="B6" s="18">
        <f t="shared" ref="B6:E6" si="0">COUNTIF($F10:$F1020,B5)</f>
        <v>50</v>
      </c>
      <c r="C6" s="18">
        <f t="shared" si="0"/>
        <v>0</v>
      </c>
      <c r="D6" s="18">
        <f t="shared" si="0"/>
        <v>0</v>
      </c>
      <c r="E6" s="19">
        <f t="shared" si="0"/>
        <v>0</v>
      </c>
      <c r="F6" s="6"/>
      <c r="G6" s="6"/>
      <c r="H6" s="6"/>
      <c r="I6" s="6"/>
      <c r="J6" s="6"/>
      <c r="K6" s="6"/>
      <c r="L6" s="20"/>
      <c r="M6" s="20"/>
      <c r="N6" s="17"/>
      <c r="O6" s="17"/>
      <c r="P6" s="17"/>
      <c r="Q6" s="37"/>
      <c r="R6" s="34"/>
      <c r="S6" s="34"/>
      <c r="T6" s="34"/>
      <c r="U6" s="34"/>
      <c r="V6" s="34"/>
      <c r="W6" s="34"/>
      <c r="X6" s="34"/>
      <c r="Y6" s="34"/>
      <c r="Z6" s="34"/>
    </row>
    <row r="7" customHeight="1" spans="1:26">
      <c r="A7" s="13" t="s">
        <v>69</v>
      </c>
      <c r="B7" s="18">
        <f t="shared" ref="B7:E7" si="1">COUNTIF($I10:$I1020,B5)</f>
        <v>0</v>
      </c>
      <c r="C7" s="18">
        <f t="shared" si="1"/>
        <v>0</v>
      </c>
      <c r="D7" s="18">
        <f t="shared" si="1"/>
        <v>0</v>
      </c>
      <c r="E7" s="19">
        <f t="shared" si="1"/>
        <v>0</v>
      </c>
      <c r="F7" s="6"/>
      <c r="G7" s="6"/>
      <c r="H7" s="6"/>
      <c r="I7" s="6"/>
      <c r="J7" s="6"/>
      <c r="K7" s="6"/>
      <c r="L7" s="20"/>
      <c r="M7" s="20"/>
      <c r="N7" s="17"/>
      <c r="O7" s="17"/>
      <c r="P7" s="17"/>
      <c r="Q7" s="37"/>
      <c r="R7" s="34"/>
      <c r="S7" s="34"/>
      <c r="T7" s="34"/>
      <c r="U7" s="34"/>
      <c r="V7" s="34"/>
      <c r="W7" s="34"/>
      <c r="X7" s="34"/>
      <c r="Y7" s="34"/>
      <c r="Z7" s="34"/>
    </row>
    <row r="8" customHeight="1" spans="1:26">
      <c r="A8" s="21" t="s">
        <v>70</v>
      </c>
      <c r="B8" s="22">
        <f t="shared" ref="B8:E8" si="2">COUNTIF($L10:$L1020,B5)</f>
        <v>0</v>
      </c>
      <c r="C8" s="22">
        <f t="shared" si="2"/>
        <v>0</v>
      </c>
      <c r="D8" s="22">
        <f t="shared" si="2"/>
        <v>0</v>
      </c>
      <c r="E8" s="23">
        <f t="shared" si="2"/>
        <v>0</v>
      </c>
      <c r="F8" s="6"/>
      <c r="G8" s="6"/>
      <c r="H8" s="6"/>
      <c r="I8" s="6"/>
      <c r="J8" s="6"/>
      <c r="K8" s="6"/>
      <c r="L8" s="20"/>
      <c r="M8" s="20"/>
      <c r="N8" s="17"/>
      <c r="O8" s="17"/>
      <c r="P8" s="17"/>
      <c r="Q8" s="37"/>
      <c r="R8" s="34"/>
      <c r="S8" s="34"/>
      <c r="T8" s="34"/>
      <c r="U8" s="34"/>
      <c r="V8" s="34"/>
      <c r="W8" s="34"/>
      <c r="X8" s="34"/>
      <c r="Y8" s="34"/>
      <c r="Z8" s="34"/>
    </row>
    <row r="9" customHeight="1" spans="1:26">
      <c r="A9" s="17"/>
      <c r="B9" s="17"/>
      <c r="C9" s="17"/>
      <c r="D9" s="17"/>
      <c r="E9" s="17"/>
      <c r="F9" s="6"/>
      <c r="G9" s="6"/>
      <c r="H9" s="6"/>
      <c r="I9" s="6"/>
      <c r="J9" s="6"/>
      <c r="K9" s="6"/>
      <c r="L9" s="24"/>
      <c r="M9" s="17"/>
      <c r="N9" s="17"/>
      <c r="O9" s="17"/>
      <c r="P9" s="17"/>
      <c r="Q9" s="37"/>
      <c r="R9" s="34"/>
      <c r="S9" s="34"/>
      <c r="T9" s="34"/>
      <c r="U9" s="34"/>
      <c r="V9" s="34"/>
      <c r="W9" s="34"/>
      <c r="X9" s="34"/>
      <c r="Y9" s="34"/>
      <c r="Z9" s="34"/>
    </row>
    <row r="10" ht="25.5" customHeight="1" spans="1:26">
      <c r="A10" s="25" t="s">
        <v>71</v>
      </c>
      <c r="B10" s="25" t="s">
        <v>72</v>
      </c>
      <c r="C10" s="25" t="s">
        <v>73</v>
      </c>
      <c r="D10" s="25" t="s">
        <v>74</v>
      </c>
      <c r="E10" s="25" t="s">
        <v>75</v>
      </c>
      <c r="F10" s="25" t="s">
        <v>68</v>
      </c>
      <c r="G10" s="25" t="s">
        <v>76</v>
      </c>
      <c r="H10" s="25" t="s">
        <v>77</v>
      </c>
      <c r="I10" s="25" t="s">
        <v>69</v>
      </c>
      <c r="J10" s="25" t="s">
        <v>76</v>
      </c>
      <c r="K10" s="25" t="s">
        <v>77</v>
      </c>
      <c r="L10" s="25" t="s">
        <v>70</v>
      </c>
      <c r="M10" s="25" t="s">
        <v>76</v>
      </c>
      <c r="N10" s="25" t="s">
        <v>77</v>
      </c>
      <c r="O10" s="25" t="s">
        <v>78</v>
      </c>
      <c r="P10" s="34"/>
      <c r="Q10" s="38"/>
      <c r="R10" s="34"/>
      <c r="S10" s="34"/>
      <c r="T10" s="34"/>
      <c r="U10" s="34"/>
      <c r="V10" s="34"/>
      <c r="W10" s="34"/>
      <c r="X10" s="34"/>
      <c r="Y10" s="34"/>
      <c r="Z10" s="34"/>
    </row>
    <row r="11" ht="49.5" customHeight="1" outlineLevel="1" spans="1:26">
      <c r="A11" s="61" t="s">
        <v>79</v>
      </c>
      <c r="B11" s="28"/>
      <c r="C11" s="28"/>
      <c r="D11" s="62"/>
      <c r="E11" s="62"/>
      <c r="F11" s="28"/>
      <c r="G11" s="28"/>
      <c r="H11" s="28"/>
      <c r="I11" s="28"/>
      <c r="J11" s="28"/>
      <c r="K11" s="28"/>
      <c r="L11" s="28"/>
      <c r="M11" s="28"/>
      <c r="N11" s="28"/>
      <c r="O11" s="28"/>
      <c r="P11" s="42"/>
      <c r="Q11" s="39"/>
      <c r="R11" s="42"/>
      <c r="S11" s="42"/>
      <c r="T11" s="42"/>
      <c r="U11" s="42"/>
      <c r="V11" s="42"/>
      <c r="W11" s="42"/>
      <c r="X11" s="42"/>
      <c r="Y11" s="42"/>
      <c r="Z11" s="42"/>
    </row>
    <row r="12" ht="26.25" customHeight="1" outlineLevel="1" spans="1:26">
      <c r="A12" s="29" t="s">
        <v>80</v>
      </c>
      <c r="B12" s="30" t="s">
        <v>81</v>
      </c>
      <c r="C12" s="30" t="s">
        <v>82</v>
      </c>
      <c r="D12" s="30" t="s">
        <v>83</v>
      </c>
      <c r="E12" s="30" t="s">
        <v>84</v>
      </c>
      <c r="F12" s="31" t="s">
        <v>54</v>
      </c>
      <c r="G12" s="28"/>
      <c r="H12" s="28"/>
      <c r="I12" s="28"/>
      <c r="J12" s="28"/>
      <c r="K12" s="28"/>
      <c r="L12" s="28"/>
      <c r="M12" s="28"/>
      <c r="N12" s="28"/>
      <c r="O12" s="28"/>
      <c r="P12" s="42"/>
      <c r="Q12" s="39"/>
      <c r="R12" s="42"/>
      <c r="S12" s="42"/>
      <c r="T12" s="42"/>
      <c r="U12" s="42"/>
      <c r="V12" s="42"/>
      <c r="W12" s="42"/>
      <c r="X12" s="42"/>
      <c r="Y12" s="42"/>
      <c r="Z12" s="42"/>
    </row>
    <row r="13" ht="12.75" customHeight="1" outlineLevel="1" spans="1:26">
      <c r="A13" s="29" t="s">
        <v>85</v>
      </c>
      <c r="B13" s="30" t="s">
        <v>86</v>
      </c>
      <c r="C13" s="30" t="s">
        <v>87</v>
      </c>
      <c r="D13" s="30" t="s">
        <v>88</v>
      </c>
      <c r="E13" s="30" t="s">
        <v>89</v>
      </c>
      <c r="F13" s="31" t="s">
        <v>54</v>
      </c>
      <c r="G13" s="28"/>
      <c r="H13" s="28"/>
      <c r="I13" s="28"/>
      <c r="J13" s="28"/>
      <c r="K13" s="28"/>
      <c r="L13" s="28"/>
      <c r="M13" s="28"/>
      <c r="N13" s="28"/>
      <c r="O13" s="28"/>
      <c r="P13" s="1"/>
      <c r="Q13" s="39"/>
      <c r="R13" s="1"/>
      <c r="S13" s="1"/>
      <c r="T13" s="1"/>
      <c r="U13" s="1"/>
      <c r="V13" s="1"/>
      <c r="W13" s="1"/>
      <c r="X13" s="1"/>
      <c r="Y13" s="1"/>
      <c r="Z13" s="1"/>
    </row>
    <row r="14" ht="12.75" customHeight="1" outlineLevel="1" spans="1:26">
      <c r="A14" s="29" t="s">
        <v>90</v>
      </c>
      <c r="B14" s="30" t="s">
        <v>91</v>
      </c>
      <c r="C14" s="30" t="s">
        <v>92</v>
      </c>
      <c r="D14" s="30" t="s">
        <v>93</v>
      </c>
      <c r="E14" s="30" t="s">
        <v>89</v>
      </c>
      <c r="F14" s="31" t="s">
        <v>54</v>
      </c>
      <c r="G14" s="28"/>
      <c r="H14" s="28"/>
      <c r="I14" s="28"/>
      <c r="J14" s="28"/>
      <c r="K14" s="28"/>
      <c r="L14" s="28"/>
      <c r="M14" s="28"/>
      <c r="N14" s="28"/>
      <c r="O14" s="28"/>
      <c r="P14" s="1"/>
      <c r="Q14" s="39"/>
      <c r="R14" s="1"/>
      <c r="S14" s="1"/>
      <c r="T14" s="1"/>
      <c r="U14" s="1"/>
      <c r="V14" s="1"/>
      <c r="W14" s="1"/>
      <c r="X14" s="1"/>
      <c r="Y14" s="1"/>
      <c r="Z14" s="1"/>
    </row>
    <row r="15" ht="12.75" customHeight="1" outlineLevel="1" spans="1:26">
      <c r="A15" s="29" t="s">
        <v>94</v>
      </c>
      <c r="B15" s="30" t="s">
        <v>95</v>
      </c>
      <c r="C15" s="30" t="s">
        <v>96</v>
      </c>
      <c r="D15" s="30" t="s">
        <v>97</v>
      </c>
      <c r="E15" s="30" t="s">
        <v>89</v>
      </c>
      <c r="F15" s="31" t="s">
        <v>54</v>
      </c>
      <c r="G15" s="28"/>
      <c r="H15" s="28"/>
      <c r="I15" s="28"/>
      <c r="J15" s="28"/>
      <c r="K15" s="28"/>
      <c r="L15" s="28"/>
      <c r="M15" s="28"/>
      <c r="N15" s="28"/>
      <c r="O15" s="28"/>
      <c r="P15" s="1"/>
      <c r="Q15" s="39"/>
      <c r="R15" s="1"/>
      <c r="S15" s="1"/>
      <c r="T15" s="1"/>
      <c r="U15" s="1"/>
      <c r="V15" s="1"/>
      <c r="W15" s="1"/>
      <c r="X15" s="1"/>
      <c r="Y15" s="1"/>
      <c r="Z15" s="1"/>
    </row>
    <row r="16" ht="12.75" customHeight="1" outlineLevel="1" spans="1:26">
      <c r="A16" s="29" t="s">
        <v>98</v>
      </c>
      <c r="B16" s="30" t="s">
        <v>99</v>
      </c>
      <c r="C16" s="30" t="s">
        <v>100</v>
      </c>
      <c r="D16" s="30" t="s">
        <v>101</v>
      </c>
      <c r="E16" s="30" t="s">
        <v>89</v>
      </c>
      <c r="F16" s="31" t="s">
        <v>54</v>
      </c>
      <c r="G16" s="28"/>
      <c r="H16" s="28"/>
      <c r="I16" s="28"/>
      <c r="J16" s="28"/>
      <c r="K16" s="28"/>
      <c r="L16" s="28"/>
      <c r="M16" s="28"/>
      <c r="N16" s="28"/>
      <c r="O16" s="28"/>
      <c r="P16" s="1"/>
      <c r="Q16" s="39"/>
      <c r="R16" s="1"/>
      <c r="S16" s="1"/>
      <c r="T16" s="1"/>
      <c r="U16" s="1"/>
      <c r="V16" s="1"/>
      <c r="W16" s="1"/>
      <c r="X16" s="1"/>
      <c r="Y16" s="1"/>
      <c r="Z16" s="1"/>
    </row>
    <row r="17" ht="12.75" customHeight="1" outlineLevel="1" spans="1:26">
      <c r="A17" s="63" t="s">
        <v>102</v>
      </c>
      <c r="B17" s="28"/>
      <c r="C17" s="28"/>
      <c r="D17" s="28"/>
      <c r="E17" s="28"/>
      <c r="F17" s="28"/>
      <c r="G17" s="28"/>
      <c r="H17" s="28"/>
      <c r="I17" s="28"/>
      <c r="J17" s="28"/>
      <c r="K17" s="28"/>
      <c r="L17" s="28"/>
      <c r="M17" s="28"/>
      <c r="N17" s="28"/>
      <c r="O17" s="28"/>
      <c r="P17" s="1"/>
      <c r="Q17" s="39"/>
      <c r="R17" s="1"/>
      <c r="S17" s="1"/>
      <c r="T17" s="1"/>
      <c r="U17" s="1"/>
      <c r="V17" s="1"/>
      <c r="W17" s="1"/>
      <c r="X17" s="1"/>
      <c r="Y17" s="1"/>
      <c r="Z17" s="1"/>
    </row>
    <row r="18" ht="12.75" customHeight="1" outlineLevel="1" spans="1:26">
      <c r="A18" s="29" t="s">
        <v>103</v>
      </c>
      <c r="B18" s="30" t="s">
        <v>104</v>
      </c>
      <c r="C18" s="30" t="s">
        <v>105</v>
      </c>
      <c r="D18" s="30" t="s">
        <v>106</v>
      </c>
      <c r="E18" s="30" t="s">
        <v>84</v>
      </c>
      <c r="F18" s="31" t="s">
        <v>54</v>
      </c>
      <c r="G18" s="28"/>
      <c r="H18" s="28"/>
      <c r="I18" s="28"/>
      <c r="J18" s="28"/>
      <c r="K18" s="28"/>
      <c r="L18" s="28"/>
      <c r="M18" s="28"/>
      <c r="N18" s="28"/>
      <c r="O18" s="28"/>
      <c r="P18" s="1"/>
      <c r="Q18" s="39"/>
      <c r="R18" s="1"/>
      <c r="S18" s="1"/>
      <c r="T18" s="1"/>
      <c r="U18" s="1"/>
      <c r="V18" s="1"/>
      <c r="W18" s="1"/>
      <c r="X18" s="1"/>
      <c r="Y18" s="1"/>
      <c r="Z18" s="1"/>
    </row>
    <row r="19" ht="12.75" customHeight="1" outlineLevel="1" spans="1:26">
      <c r="A19" s="29" t="s">
        <v>107</v>
      </c>
      <c r="B19" s="30" t="s">
        <v>108</v>
      </c>
      <c r="C19" s="30" t="s">
        <v>109</v>
      </c>
      <c r="D19" s="30" t="s">
        <v>110</v>
      </c>
      <c r="E19" s="30" t="s">
        <v>89</v>
      </c>
      <c r="F19" s="31" t="s">
        <v>54</v>
      </c>
      <c r="G19" s="28"/>
      <c r="H19" s="28"/>
      <c r="I19" s="28"/>
      <c r="J19" s="28"/>
      <c r="K19" s="28"/>
      <c r="L19" s="28"/>
      <c r="M19" s="28"/>
      <c r="N19" s="28"/>
      <c r="O19" s="28"/>
      <c r="P19" s="1"/>
      <c r="Q19" s="39"/>
      <c r="R19" s="1"/>
      <c r="S19" s="1"/>
      <c r="T19" s="1"/>
      <c r="U19" s="1"/>
      <c r="V19" s="1"/>
      <c r="W19" s="1"/>
      <c r="X19" s="1"/>
      <c r="Y19" s="1"/>
      <c r="Z19" s="1"/>
    </row>
    <row r="20" ht="12.75" customHeight="1" outlineLevel="1" spans="1:26">
      <c r="A20" s="29" t="s">
        <v>111</v>
      </c>
      <c r="B20" s="30" t="s">
        <v>112</v>
      </c>
      <c r="C20" s="30" t="s">
        <v>113</v>
      </c>
      <c r="D20" s="30" t="s">
        <v>114</v>
      </c>
      <c r="E20" s="30" t="s">
        <v>89</v>
      </c>
      <c r="F20" s="31" t="s">
        <v>54</v>
      </c>
      <c r="G20" s="28"/>
      <c r="H20" s="28"/>
      <c r="I20" s="28"/>
      <c r="J20" s="28"/>
      <c r="K20" s="28"/>
      <c r="L20" s="28"/>
      <c r="M20" s="28"/>
      <c r="N20" s="28"/>
      <c r="O20" s="28"/>
      <c r="P20" s="1"/>
      <c r="Q20" s="39"/>
      <c r="R20" s="1"/>
      <c r="S20" s="1"/>
      <c r="T20" s="1"/>
      <c r="U20" s="1"/>
      <c r="V20" s="1"/>
      <c r="W20" s="1"/>
      <c r="X20" s="1"/>
      <c r="Y20" s="1"/>
      <c r="Z20" s="1"/>
    </row>
    <row r="21" ht="12.75" customHeight="1" outlineLevel="1" spans="1:26">
      <c r="A21" s="29" t="s">
        <v>115</v>
      </c>
      <c r="B21" s="30" t="s">
        <v>116</v>
      </c>
      <c r="C21" s="30" t="s">
        <v>117</v>
      </c>
      <c r="D21" s="30" t="s">
        <v>118</v>
      </c>
      <c r="E21" s="30" t="s">
        <v>89</v>
      </c>
      <c r="F21" s="31" t="s">
        <v>54</v>
      </c>
      <c r="G21" s="28"/>
      <c r="H21" s="28"/>
      <c r="I21" s="28"/>
      <c r="J21" s="28"/>
      <c r="K21" s="28"/>
      <c r="L21" s="28"/>
      <c r="M21" s="28"/>
      <c r="N21" s="28"/>
      <c r="O21" s="28"/>
      <c r="P21" s="1"/>
      <c r="Q21" s="39"/>
      <c r="R21" s="1"/>
      <c r="S21" s="1"/>
      <c r="T21" s="1"/>
      <c r="U21" s="1"/>
      <c r="V21" s="1"/>
      <c r="W21" s="1"/>
      <c r="X21" s="1"/>
      <c r="Y21" s="1"/>
      <c r="Z21" s="1"/>
    </row>
    <row r="22" ht="12.75" customHeight="1" outlineLevel="1" spans="1:26">
      <c r="A22" s="29" t="s">
        <v>119</v>
      </c>
      <c r="B22" s="30" t="s">
        <v>120</v>
      </c>
      <c r="C22" s="30" t="s">
        <v>121</v>
      </c>
      <c r="D22" s="30" t="s">
        <v>122</v>
      </c>
      <c r="E22" s="30" t="s">
        <v>89</v>
      </c>
      <c r="F22" s="31" t="s">
        <v>54</v>
      </c>
      <c r="G22" s="28"/>
      <c r="H22" s="28"/>
      <c r="I22" s="28"/>
      <c r="J22" s="28"/>
      <c r="K22" s="28"/>
      <c r="L22" s="28"/>
      <c r="M22" s="28"/>
      <c r="N22" s="28"/>
      <c r="O22" s="28"/>
      <c r="P22" s="1"/>
      <c r="Q22" s="39"/>
      <c r="R22" s="1"/>
      <c r="S22" s="1"/>
      <c r="T22" s="1"/>
      <c r="U22" s="1"/>
      <c r="V22" s="1"/>
      <c r="W22" s="1"/>
      <c r="X22" s="1"/>
      <c r="Y22" s="1"/>
      <c r="Z22" s="1"/>
    </row>
    <row r="23" ht="12.75" customHeight="1" outlineLevel="1" spans="1:26">
      <c r="A23" s="63" t="s">
        <v>123</v>
      </c>
      <c r="B23" s="28"/>
      <c r="C23" s="28"/>
      <c r="D23" s="28"/>
      <c r="E23" s="28"/>
      <c r="F23" s="28"/>
      <c r="G23" s="28"/>
      <c r="H23" s="28"/>
      <c r="I23" s="28"/>
      <c r="J23" s="28"/>
      <c r="K23" s="28"/>
      <c r="L23" s="28"/>
      <c r="M23" s="28"/>
      <c r="N23" s="28"/>
      <c r="O23" s="28"/>
      <c r="P23" s="1"/>
      <c r="Q23" s="39"/>
      <c r="R23" s="1"/>
      <c r="S23" s="1"/>
      <c r="T23" s="1"/>
      <c r="U23" s="1"/>
      <c r="V23" s="1"/>
      <c r="W23" s="1"/>
      <c r="X23" s="1"/>
      <c r="Y23" s="1"/>
      <c r="Z23" s="1"/>
    </row>
    <row r="24" ht="12.75" customHeight="1" outlineLevel="1" spans="1:26">
      <c r="A24" s="29" t="s">
        <v>124</v>
      </c>
      <c r="B24" s="30" t="s">
        <v>125</v>
      </c>
      <c r="C24" s="30" t="s">
        <v>126</v>
      </c>
      <c r="D24" s="30" t="s">
        <v>127</v>
      </c>
      <c r="E24" s="30" t="s">
        <v>128</v>
      </c>
      <c r="F24" s="31" t="s">
        <v>54</v>
      </c>
      <c r="G24" s="28"/>
      <c r="H24" s="28"/>
      <c r="I24" s="28"/>
      <c r="J24" s="28"/>
      <c r="K24" s="28"/>
      <c r="L24" s="28"/>
      <c r="M24" s="28"/>
      <c r="N24" s="28"/>
      <c r="O24" s="28"/>
      <c r="P24" s="1"/>
      <c r="Q24" s="39"/>
      <c r="R24" s="1"/>
      <c r="S24" s="1"/>
      <c r="T24" s="1"/>
      <c r="U24" s="1"/>
      <c r="V24" s="1"/>
      <c r="W24" s="1"/>
      <c r="X24" s="1"/>
      <c r="Y24" s="1"/>
      <c r="Z24" s="1"/>
    </row>
    <row r="25" ht="12.75" customHeight="1" outlineLevel="1" spans="1:26">
      <c r="A25" s="29" t="s">
        <v>129</v>
      </c>
      <c r="B25" s="30" t="s">
        <v>130</v>
      </c>
      <c r="C25" s="30" t="s">
        <v>131</v>
      </c>
      <c r="D25" s="30" t="s">
        <v>132</v>
      </c>
      <c r="E25" s="30" t="s">
        <v>133</v>
      </c>
      <c r="F25" s="31" t="s">
        <v>54</v>
      </c>
      <c r="G25" s="28"/>
      <c r="H25" s="28"/>
      <c r="I25" s="28"/>
      <c r="J25" s="28"/>
      <c r="K25" s="28"/>
      <c r="L25" s="28"/>
      <c r="M25" s="28"/>
      <c r="N25" s="28"/>
      <c r="O25" s="28"/>
      <c r="P25" s="1"/>
      <c r="Q25" s="39"/>
      <c r="R25" s="1"/>
      <c r="S25" s="1"/>
      <c r="T25" s="1"/>
      <c r="U25" s="1"/>
      <c r="V25" s="1"/>
      <c r="W25" s="1"/>
      <c r="X25" s="1"/>
      <c r="Y25" s="1"/>
      <c r="Z25" s="1"/>
    </row>
    <row r="26" ht="12.75" customHeight="1" outlineLevel="1" spans="1:26">
      <c r="A26" s="29" t="s">
        <v>134</v>
      </c>
      <c r="B26" s="30" t="s">
        <v>135</v>
      </c>
      <c r="C26" s="30" t="s">
        <v>136</v>
      </c>
      <c r="D26" s="30" t="s">
        <v>137</v>
      </c>
      <c r="E26" s="30" t="s">
        <v>133</v>
      </c>
      <c r="F26" s="31" t="s">
        <v>54</v>
      </c>
      <c r="G26" s="28"/>
      <c r="H26" s="28"/>
      <c r="I26" s="28"/>
      <c r="J26" s="28"/>
      <c r="K26" s="28"/>
      <c r="L26" s="28"/>
      <c r="M26" s="28"/>
      <c r="N26" s="28"/>
      <c r="O26" s="28"/>
      <c r="P26" s="1"/>
      <c r="Q26" s="39"/>
      <c r="R26" s="1"/>
      <c r="S26" s="1"/>
      <c r="T26" s="1"/>
      <c r="U26" s="1"/>
      <c r="V26" s="1"/>
      <c r="W26" s="1"/>
      <c r="X26" s="1"/>
      <c r="Y26" s="1"/>
      <c r="Z26" s="1"/>
    </row>
    <row r="27" ht="12.75" customHeight="1" outlineLevel="1" spans="1:26">
      <c r="A27" s="29" t="s">
        <v>138</v>
      </c>
      <c r="B27" s="30" t="s">
        <v>139</v>
      </c>
      <c r="C27" s="30" t="s">
        <v>140</v>
      </c>
      <c r="D27" s="30" t="s">
        <v>141</v>
      </c>
      <c r="E27" s="30" t="s">
        <v>133</v>
      </c>
      <c r="F27" s="31" t="s">
        <v>54</v>
      </c>
      <c r="G27" s="28"/>
      <c r="H27" s="28"/>
      <c r="I27" s="28"/>
      <c r="J27" s="28"/>
      <c r="K27" s="28"/>
      <c r="L27" s="28"/>
      <c r="M27" s="28"/>
      <c r="N27" s="28"/>
      <c r="O27" s="28"/>
      <c r="P27" s="1"/>
      <c r="Q27" s="39"/>
      <c r="R27" s="1"/>
      <c r="S27" s="1"/>
      <c r="T27" s="1"/>
      <c r="U27" s="1"/>
      <c r="V27" s="1"/>
      <c r="W27" s="1"/>
      <c r="X27" s="1"/>
      <c r="Y27" s="1"/>
      <c r="Z27" s="1"/>
    </row>
    <row r="28" ht="12.75" customHeight="1" outlineLevel="1" spans="1:26">
      <c r="A28" s="63" t="s">
        <v>142</v>
      </c>
      <c r="B28" s="28"/>
      <c r="C28" s="28"/>
      <c r="D28" s="28"/>
      <c r="E28" s="28"/>
      <c r="F28" s="28"/>
      <c r="G28" s="28"/>
      <c r="H28" s="28"/>
      <c r="I28" s="28"/>
      <c r="J28" s="28"/>
      <c r="K28" s="28"/>
      <c r="L28" s="28"/>
      <c r="M28" s="28"/>
      <c r="N28" s="28"/>
      <c r="O28" s="28"/>
      <c r="P28" s="1"/>
      <c r="Q28" s="39"/>
      <c r="R28" s="1"/>
      <c r="S28" s="1"/>
      <c r="T28" s="1"/>
      <c r="U28" s="1"/>
      <c r="V28" s="1"/>
      <c r="W28" s="1"/>
      <c r="X28" s="1"/>
      <c r="Y28" s="1"/>
      <c r="Z28" s="1"/>
    </row>
    <row r="29" ht="12.75" customHeight="1" outlineLevel="1" spans="1:26">
      <c r="A29" s="29" t="s">
        <v>143</v>
      </c>
      <c r="B29" s="30" t="s">
        <v>144</v>
      </c>
      <c r="C29" s="30" t="s">
        <v>145</v>
      </c>
      <c r="D29" s="30" t="s">
        <v>146</v>
      </c>
      <c r="E29" s="30" t="s">
        <v>84</v>
      </c>
      <c r="F29" s="31" t="s">
        <v>54</v>
      </c>
      <c r="G29" s="28"/>
      <c r="H29" s="28"/>
      <c r="I29" s="28"/>
      <c r="J29" s="28"/>
      <c r="K29" s="28"/>
      <c r="L29" s="28"/>
      <c r="M29" s="28"/>
      <c r="N29" s="28"/>
      <c r="O29" s="28"/>
      <c r="P29" s="1"/>
      <c r="Q29" s="39"/>
      <c r="R29" s="1"/>
      <c r="S29" s="1"/>
      <c r="T29" s="1"/>
      <c r="U29" s="1"/>
      <c r="V29" s="1"/>
      <c r="W29" s="1"/>
      <c r="X29" s="1"/>
      <c r="Y29" s="1"/>
      <c r="Z29" s="1"/>
    </row>
    <row r="30" ht="12.75" customHeight="1" outlineLevel="1" spans="1:26">
      <c r="A30" s="29" t="s">
        <v>147</v>
      </c>
      <c r="B30" s="30" t="s">
        <v>148</v>
      </c>
      <c r="C30" s="30" t="s">
        <v>149</v>
      </c>
      <c r="D30" s="30" t="s">
        <v>150</v>
      </c>
      <c r="E30" s="30" t="s">
        <v>151</v>
      </c>
      <c r="F30" s="31" t="s">
        <v>54</v>
      </c>
      <c r="G30" s="28"/>
      <c r="H30" s="28"/>
      <c r="I30" s="28"/>
      <c r="J30" s="28"/>
      <c r="K30" s="28"/>
      <c r="L30" s="28"/>
      <c r="M30" s="28"/>
      <c r="N30" s="28"/>
      <c r="O30" s="28"/>
      <c r="P30" s="1"/>
      <c r="Q30" s="39"/>
      <c r="R30" s="1"/>
      <c r="S30" s="1"/>
      <c r="T30" s="1"/>
      <c r="U30" s="1"/>
      <c r="V30" s="1"/>
      <c r="W30" s="1"/>
      <c r="X30" s="1"/>
      <c r="Y30" s="1"/>
      <c r="Z30" s="1"/>
    </row>
    <row r="31" ht="12.75" customHeight="1" outlineLevel="1" spans="1:26">
      <c r="A31" s="29" t="s">
        <v>152</v>
      </c>
      <c r="B31" s="30" t="s">
        <v>153</v>
      </c>
      <c r="C31" s="30" t="s">
        <v>154</v>
      </c>
      <c r="D31" s="30" t="s">
        <v>155</v>
      </c>
      <c r="E31" s="30" t="s">
        <v>151</v>
      </c>
      <c r="F31" s="31" t="s">
        <v>54</v>
      </c>
      <c r="G31" s="28"/>
      <c r="H31" s="28"/>
      <c r="I31" s="28"/>
      <c r="J31" s="28"/>
      <c r="K31" s="28"/>
      <c r="L31" s="28"/>
      <c r="M31" s="28"/>
      <c r="N31" s="28"/>
      <c r="O31" s="28"/>
      <c r="P31" s="1"/>
      <c r="Q31" s="39"/>
      <c r="R31" s="1"/>
      <c r="S31" s="1"/>
      <c r="T31" s="1"/>
      <c r="U31" s="1"/>
      <c r="V31" s="1"/>
      <c r="W31" s="1"/>
      <c r="X31" s="1"/>
      <c r="Y31" s="1"/>
      <c r="Z31" s="1"/>
    </row>
    <row r="32" ht="12.75" customHeight="1" outlineLevel="1" spans="1:26">
      <c r="A32" s="29" t="s">
        <v>156</v>
      </c>
      <c r="B32" s="30" t="s">
        <v>157</v>
      </c>
      <c r="C32" s="30" t="s">
        <v>158</v>
      </c>
      <c r="D32" s="30" t="s">
        <v>159</v>
      </c>
      <c r="E32" s="30" t="s">
        <v>151</v>
      </c>
      <c r="F32" s="31" t="s">
        <v>54</v>
      </c>
      <c r="G32" s="28"/>
      <c r="H32" s="28"/>
      <c r="I32" s="28"/>
      <c r="J32" s="28"/>
      <c r="K32" s="28"/>
      <c r="L32" s="28"/>
      <c r="M32" s="28"/>
      <c r="N32" s="28"/>
      <c r="O32" s="28"/>
      <c r="P32" s="1"/>
      <c r="Q32" s="39"/>
      <c r="R32" s="1"/>
      <c r="S32" s="1"/>
      <c r="T32" s="1"/>
      <c r="U32" s="1"/>
      <c r="V32" s="1"/>
      <c r="W32" s="1"/>
      <c r="X32" s="1"/>
      <c r="Y32" s="1"/>
      <c r="Z32" s="1"/>
    </row>
    <row r="33" ht="12.75" customHeight="1" outlineLevel="1" spans="1:26">
      <c r="A33" s="43" t="s">
        <v>160</v>
      </c>
      <c r="B33" s="28"/>
      <c r="C33" s="28"/>
      <c r="D33" s="28"/>
      <c r="E33" s="28"/>
      <c r="F33" s="28"/>
      <c r="G33" s="28"/>
      <c r="H33" s="28"/>
      <c r="I33" s="28"/>
      <c r="J33" s="28"/>
      <c r="K33" s="28"/>
      <c r="L33" s="28"/>
      <c r="M33" s="28"/>
      <c r="N33" s="28"/>
      <c r="O33" s="28"/>
      <c r="P33" s="1"/>
      <c r="Q33" s="39"/>
      <c r="R33" s="1"/>
      <c r="S33" s="1"/>
      <c r="T33" s="1"/>
      <c r="U33" s="1"/>
      <c r="V33" s="1"/>
      <c r="W33" s="1"/>
      <c r="X33" s="1"/>
      <c r="Y33" s="1"/>
      <c r="Z33" s="1"/>
    </row>
    <row r="34" ht="12.75" customHeight="1" outlineLevel="1" spans="1:26">
      <c r="A34" s="29" t="s">
        <v>161</v>
      </c>
      <c r="B34" s="30" t="s">
        <v>162</v>
      </c>
      <c r="C34" s="30" t="s">
        <v>163</v>
      </c>
      <c r="D34" s="30" t="s">
        <v>164</v>
      </c>
      <c r="E34" s="30" t="s">
        <v>151</v>
      </c>
      <c r="F34" s="31" t="s">
        <v>54</v>
      </c>
      <c r="G34" s="28"/>
      <c r="H34" s="28"/>
      <c r="I34" s="28"/>
      <c r="J34" s="28"/>
      <c r="K34" s="28"/>
      <c r="L34" s="28"/>
      <c r="M34" s="28"/>
      <c r="N34" s="28"/>
      <c r="O34" s="28"/>
      <c r="P34" s="1"/>
      <c r="Q34" s="39"/>
      <c r="R34" s="1"/>
      <c r="S34" s="1"/>
      <c r="T34" s="1"/>
      <c r="U34" s="1"/>
      <c r="V34" s="1"/>
      <c r="W34" s="1"/>
      <c r="X34" s="1"/>
      <c r="Y34" s="1"/>
      <c r="Z34" s="1"/>
    </row>
    <row r="35" ht="12.75" customHeight="1" outlineLevel="1" spans="1:26">
      <c r="A35" s="29" t="s">
        <v>165</v>
      </c>
      <c r="B35" s="30" t="s">
        <v>166</v>
      </c>
      <c r="C35" s="30" t="s">
        <v>167</v>
      </c>
      <c r="D35" s="30" t="s">
        <v>168</v>
      </c>
      <c r="E35" s="30" t="s">
        <v>151</v>
      </c>
      <c r="F35" s="31" t="s">
        <v>54</v>
      </c>
      <c r="G35" s="28"/>
      <c r="H35" s="28"/>
      <c r="I35" s="28"/>
      <c r="J35" s="28"/>
      <c r="K35" s="28"/>
      <c r="L35" s="28"/>
      <c r="M35" s="28"/>
      <c r="N35" s="28"/>
      <c r="O35" s="28"/>
      <c r="P35" s="1"/>
      <c r="Q35" s="39"/>
      <c r="R35" s="1"/>
      <c r="S35" s="1"/>
      <c r="T35" s="1"/>
      <c r="U35" s="1"/>
      <c r="V35" s="1"/>
      <c r="W35" s="1"/>
      <c r="X35" s="1"/>
      <c r="Y35" s="1"/>
      <c r="Z35" s="1"/>
    </row>
    <row r="36" ht="12.75" customHeight="1" outlineLevel="1" spans="1:26">
      <c r="A36" s="29" t="s">
        <v>169</v>
      </c>
      <c r="B36" s="30" t="s">
        <v>170</v>
      </c>
      <c r="C36" s="30" t="s">
        <v>171</v>
      </c>
      <c r="D36" s="30" t="s">
        <v>172</v>
      </c>
      <c r="E36" s="30" t="s">
        <v>173</v>
      </c>
      <c r="F36" s="31" t="s">
        <v>54</v>
      </c>
      <c r="G36" s="28"/>
      <c r="H36" s="28"/>
      <c r="I36" s="28"/>
      <c r="J36" s="28"/>
      <c r="K36" s="28"/>
      <c r="L36" s="28"/>
      <c r="M36" s="28"/>
      <c r="N36" s="28"/>
      <c r="O36" s="28"/>
      <c r="P36" s="1"/>
      <c r="Q36" s="39"/>
      <c r="R36" s="1"/>
      <c r="S36" s="1"/>
      <c r="T36" s="1"/>
      <c r="U36" s="1"/>
      <c r="V36" s="1"/>
      <c r="W36" s="1"/>
      <c r="X36" s="1"/>
      <c r="Y36" s="1"/>
      <c r="Z36" s="1"/>
    </row>
    <row r="37" ht="12.75" customHeight="1" outlineLevel="1" spans="1:26">
      <c r="A37" s="28"/>
      <c r="B37" s="28"/>
      <c r="C37" s="28"/>
      <c r="D37" s="28"/>
      <c r="E37" s="28"/>
      <c r="F37" s="31" t="s">
        <v>54</v>
      </c>
      <c r="G37" s="28"/>
      <c r="H37" s="28"/>
      <c r="I37" s="28"/>
      <c r="J37" s="28"/>
      <c r="K37" s="28"/>
      <c r="L37" s="28"/>
      <c r="M37" s="28"/>
      <c r="N37" s="28"/>
      <c r="O37" s="28"/>
      <c r="P37" s="1"/>
      <c r="Q37" s="39"/>
      <c r="R37" s="1"/>
      <c r="S37" s="1"/>
      <c r="T37" s="1"/>
      <c r="U37" s="1"/>
      <c r="V37" s="1"/>
      <c r="W37" s="1"/>
      <c r="X37" s="1"/>
      <c r="Y37" s="1"/>
      <c r="Z37" s="1"/>
    </row>
    <row r="38" ht="12.75" customHeight="1" outlineLevel="1" spans="1:26">
      <c r="A38" s="43" t="s">
        <v>174</v>
      </c>
      <c r="B38" s="28"/>
      <c r="C38" s="28"/>
      <c r="D38" s="28"/>
      <c r="E38" s="28"/>
      <c r="F38" s="31" t="s">
        <v>54</v>
      </c>
      <c r="G38" s="28"/>
      <c r="H38" s="28"/>
      <c r="I38" s="28"/>
      <c r="J38" s="28"/>
      <c r="K38" s="28"/>
      <c r="L38" s="28"/>
      <c r="M38" s="28"/>
      <c r="N38" s="28"/>
      <c r="O38" s="28"/>
      <c r="P38" s="1"/>
      <c r="Q38" s="39"/>
      <c r="R38" s="1"/>
      <c r="S38" s="1"/>
      <c r="T38" s="1"/>
      <c r="U38" s="1"/>
      <c r="V38" s="1"/>
      <c r="W38" s="1"/>
      <c r="X38" s="1"/>
      <c r="Y38" s="1"/>
      <c r="Z38" s="1"/>
    </row>
    <row r="39" ht="12.75" customHeight="1" outlineLevel="1" spans="1:26">
      <c r="A39" s="29" t="s">
        <v>175</v>
      </c>
      <c r="B39" s="30" t="s">
        <v>176</v>
      </c>
      <c r="C39" s="30" t="s">
        <v>177</v>
      </c>
      <c r="D39" s="30" t="s">
        <v>178</v>
      </c>
      <c r="E39" s="30" t="s">
        <v>151</v>
      </c>
      <c r="F39" s="31" t="s">
        <v>54</v>
      </c>
      <c r="G39" s="28"/>
      <c r="H39" s="28"/>
      <c r="I39" s="28"/>
      <c r="J39" s="28"/>
      <c r="K39" s="28"/>
      <c r="L39" s="28"/>
      <c r="M39" s="28"/>
      <c r="N39" s="28"/>
      <c r="O39" s="28"/>
      <c r="P39" s="1"/>
      <c r="Q39" s="39"/>
      <c r="R39" s="1"/>
      <c r="S39" s="1"/>
      <c r="T39" s="1"/>
      <c r="U39" s="1"/>
      <c r="V39" s="1"/>
      <c r="W39" s="1"/>
      <c r="X39" s="1"/>
      <c r="Y39" s="1"/>
      <c r="Z39" s="1"/>
    </row>
    <row r="40" ht="12.75" customHeight="1" outlineLevel="1" spans="1:26">
      <c r="A40" s="29" t="s">
        <v>179</v>
      </c>
      <c r="B40" s="30" t="s">
        <v>180</v>
      </c>
      <c r="C40" s="30" t="s">
        <v>181</v>
      </c>
      <c r="D40" s="30" t="s">
        <v>182</v>
      </c>
      <c r="E40" s="30" t="s">
        <v>151</v>
      </c>
      <c r="F40" s="31" t="s">
        <v>54</v>
      </c>
      <c r="G40" s="28"/>
      <c r="H40" s="28"/>
      <c r="I40" s="28"/>
      <c r="J40" s="28"/>
      <c r="K40" s="28"/>
      <c r="L40" s="28"/>
      <c r="M40" s="28"/>
      <c r="N40" s="28"/>
      <c r="O40" s="28"/>
      <c r="P40" s="1"/>
      <c r="Q40" s="39"/>
      <c r="R40" s="1"/>
      <c r="S40" s="1"/>
      <c r="T40" s="1"/>
      <c r="U40" s="1"/>
      <c r="V40" s="1"/>
      <c r="W40" s="1"/>
      <c r="X40" s="1"/>
      <c r="Y40" s="1"/>
      <c r="Z40" s="1"/>
    </row>
    <row r="41" ht="12.75" customHeight="1" outlineLevel="1" spans="1:26">
      <c r="A41" s="29" t="s">
        <v>183</v>
      </c>
      <c r="B41" s="30" t="s">
        <v>184</v>
      </c>
      <c r="C41" s="30" t="s">
        <v>185</v>
      </c>
      <c r="D41" s="30" t="s">
        <v>186</v>
      </c>
      <c r="E41" s="30" t="s">
        <v>151</v>
      </c>
      <c r="F41" s="31" t="s">
        <v>54</v>
      </c>
      <c r="G41" s="28"/>
      <c r="H41" s="28"/>
      <c r="I41" s="28"/>
      <c r="J41" s="28"/>
      <c r="K41" s="28"/>
      <c r="L41" s="28"/>
      <c r="M41" s="28"/>
      <c r="N41" s="28"/>
      <c r="O41" s="28"/>
      <c r="P41" s="1"/>
      <c r="Q41" s="39"/>
      <c r="R41" s="1"/>
      <c r="S41" s="1"/>
      <c r="T41" s="1"/>
      <c r="U41" s="1"/>
      <c r="V41" s="1"/>
      <c r="W41" s="1"/>
      <c r="X41" s="1"/>
      <c r="Y41" s="1"/>
      <c r="Z41" s="1"/>
    </row>
    <row r="42" ht="12.75" customHeight="1" outlineLevel="1" spans="1:26">
      <c r="A42" s="29" t="s">
        <v>187</v>
      </c>
      <c r="B42" s="30" t="s">
        <v>188</v>
      </c>
      <c r="C42" s="30" t="s">
        <v>189</v>
      </c>
      <c r="D42" s="30" t="s">
        <v>190</v>
      </c>
      <c r="E42" s="30" t="s">
        <v>151</v>
      </c>
      <c r="F42" s="31" t="s">
        <v>54</v>
      </c>
      <c r="G42" s="28"/>
      <c r="H42" s="28"/>
      <c r="I42" s="28"/>
      <c r="J42" s="28"/>
      <c r="K42" s="28"/>
      <c r="L42" s="28"/>
      <c r="M42" s="28"/>
      <c r="N42" s="28"/>
      <c r="O42" s="28"/>
      <c r="P42" s="1"/>
      <c r="Q42" s="39"/>
      <c r="R42" s="1"/>
      <c r="S42" s="1"/>
      <c r="T42" s="1"/>
      <c r="U42" s="1"/>
      <c r="V42" s="1"/>
      <c r="W42" s="1"/>
      <c r="X42" s="1"/>
      <c r="Y42" s="1"/>
      <c r="Z42" s="1"/>
    </row>
    <row r="43" ht="12.75" customHeight="1" outlineLevel="1" spans="1:26">
      <c r="A43" s="43" t="s">
        <v>191</v>
      </c>
      <c r="B43" s="28"/>
      <c r="C43" s="28"/>
      <c r="D43" s="28"/>
      <c r="E43" s="28"/>
      <c r="F43" s="28"/>
      <c r="G43" s="28"/>
      <c r="H43" s="28"/>
      <c r="I43" s="28"/>
      <c r="J43" s="28"/>
      <c r="K43" s="28"/>
      <c r="L43" s="28"/>
      <c r="M43" s="28"/>
      <c r="N43" s="28"/>
      <c r="O43" s="28"/>
      <c r="P43" s="1"/>
      <c r="Q43" s="39"/>
      <c r="R43" s="1"/>
      <c r="S43" s="1"/>
      <c r="T43" s="1"/>
      <c r="U43" s="1"/>
      <c r="V43" s="1"/>
      <c r="W43" s="1"/>
      <c r="X43" s="1"/>
      <c r="Y43" s="1"/>
      <c r="Z43" s="1"/>
    </row>
    <row r="44" ht="12.75" customHeight="1" outlineLevel="1" spans="1:26">
      <c r="A44" s="29" t="s">
        <v>192</v>
      </c>
      <c r="B44" s="30" t="s">
        <v>193</v>
      </c>
      <c r="C44" s="30" t="s">
        <v>194</v>
      </c>
      <c r="D44" s="30" t="s">
        <v>195</v>
      </c>
      <c r="E44" s="30" t="s">
        <v>196</v>
      </c>
      <c r="F44" s="31" t="s">
        <v>54</v>
      </c>
      <c r="G44" s="28"/>
      <c r="H44" s="28"/>
      <c r="I44" s="28"/>
      <c r="J44" s="28"/>
      <c r="K44" s="28"/>
      <c r="L44" s="28"/>
      <c r="M44" s="28"/>
      <c r="N44" s="28"/>
      <c r="O44" s="28"/>
      <c r="P44" s="1"/>
      <c r="Q44" s="39"/>
      <c r="R44" s="1"/>
      <c r="S44" s="1"/>
      <c r="T44" s="1"/>
      <c r="U44" s="1"/>
      <c r="V44" s="1"/>
      <c r="W44" s="1"/>
      <c r="X44" s="1"/>
      <c r="Y44" s="1"/>
      <c r="Z44" s="1"/>
    </row>
    <row r="45" ht="12.75" customHeight="1" outlineLevel="1" spans="1:26">
      <c r="A45" s="29" t="s">
        <v>197</v>
      </c>
      <c r="B45" s="30" t="s">
        <v>198</v>
      </c>
      <c r="C45" s="30" t="s">
        <v>199</v>
      </c>
      <c r="D45" s="30" t="s">
        <v>200</v>
      </c>
      <c r="E45" s="30" t="s">
        <v>133</v>
      </c>
      <c r="F45" s="31" t="s">
        <v>54</v>
      </c>
      <c r="G45" s="28"/>
      <c r="H45" s="28"/>
      <c r="I45" s="28"/>
      <c r="J45" s="28"/>
      <c r="K45" s="28"/>
      <c r="L45" s="28"/>
      <c r="M45" s="28"/>
      <c r="N45" s="28"/>
      <c r="O45" s="28"/>
      <c r="P45" s="1"/>
      <c r="Q45" s="39"/>
      <c r="R45" s="1"/>
      <c r="S45" s="1"/>
      <c r="T45" s="1"/>
      <c r="U45" s="1"/>
      <c r="V45" s="1"/>
      <c r="W45" s="1"/>
      <c r="X45" s="1"/>
      <c r="Y45" s="1"/>
      <c r="Z45" s="1"/>
    </row>
    <row r="46" ht="12.75" customHeight="1" outlineLevel="1" spans="1:26">
      <c r="A46" s="29" t="s">
        <v>201</v>
      </c>
      <c r="B46" s="30" t="s">
        <v>202</v>
      </c>
      <c r="C46" s="30" t="s">
        <v>203</v>
      </c>
      <c r="D46" s="30" t="s">
        <v>204</v>
      </c>
      <c r="E46" s="30" t="s">
        <v>133</v>
      </c>
      <c r="F46" s="31" t="s">
        <v>54</v>
      </c>
      <c r="G46" s="28"/>
      <c r="H46" s="28"/>
      <c r="I46" s="28"/>
      <c r="J46" s="28"/>
      <c r="K46" s="28"/>
      <c r="L46" s="28"/>
      <c r="M46" s="28"/>
      <c r="N46" s="28"/>
      <c r="O46" s="28"/>
      <c r="P46" s="1"/>
      <c r="Q46" s="39"/>
      <c r="R46" s="1"/>
      <c r="S46" s="1"/>
      <c r="T46" s="1"/>
      <c r="U46" s="1"/>
      <c r="V46" s="1"/>
      <c r="W46" s="1"/>
      <c r="X46" s="1"/>
      <c r="Y46" s="1"/>
      <c r="Z46" s="1"/>
    </row>
    <row r="47" ht="12.75" customHeight="1" outlineLevel="1" spans="1:26">
      <c r="A47" s="29" t="s">
        <v>205</v>
      </c>
      <c r="B47" s="30" t="s">
        <v>206</v>
      </c>
      <c r="C47" s="30" t="s">
        <v>207</v>
      </c>
      <c r="D47" s="30" t="s">
        <v>208</v>
      </c>
      <c r="E47" s="30" t="s">
        <v>133</v>
      </c>
      <c r="F47" s="31" t="s">
        <v>54</v>
      </c>
      <c r="G47" s="28"/>
      <c r="H47" s="28"/>
      <c r="I47" s="28"/>
      <c r="J47" s="28"/>
      <c r="K47" s="28"/>
      <c r="L47" s="28"/>
      <c r="M47" s="28"/>
      <c r="N47" s="28"/>
      <c r="O47" s="28"/>
      <c r="P47" s="1"/>
      <c r="Q47" s="39"/>
      <c r="R47" s="1"/>
      <c r="S47" s="1"/>
      <c r="T47" s="1"/>
      <c r="U47" s="1"/>
      <c r="V47" s="1"/>
      <c r="W47" s="1"/>
      <c r="X47" s="1"/>
      <c r="Y47" s="1"/>
      <c r="Z47" s="1"/>
    </row>
    <row r="48" ht="12.75" customHeight="1" outlineLevel="1" spans="1:26">
      <c r="A48" s="64" t="s">
        <v>209</v>
      </c>
      <c r="B48" s="65"/>
      <c r="C48" s="65"/>
      <c r="D48" s="65"/>
      <c r="E48" s="65"/>
      <c r="F48" s="31" t="s">
        <v>54</v>
      </c>
      <c r="G48" s="28"/>
      <c r="H48" s="28"/>
      <c r="I48" s="28"/>
      <c r="J48" s="28"/>
      <c r="K48" s="28"/>
      <c r="L48" s="28"/>
      <c r="M48" s="28"/>
      <c r="N48" s="28"/>
      <c r="O48" s="28"/>
      <c r="P48" s="1"/>
      <c r="Q48" s="39"/>
      <c r="R48" s="1"/>
      <c r="S48" s="1"/>
      <c r="T48" s="1"/>
      <c r="U48" s="1"/>
      <c r="V48" s="1"/>
      <c r="W48" s="1"/>
      <c r="X48" s="1"/>
      <c r="Y48" s="1"/>
      <c r="Z48" s="1"/>
    </row>
    <row r="49" ht="12.75" customHeight="1" outlineLevel="1" spans="1:26">
      <c r="A49" s="29" t="s">
        <v>210</v>
      </c>
      <c r="B49" s="30" t="s">
        <v>211</v>
      </c>
      <c r="C49" s="30" t="s">
        <v>212</v>
      </c>
      <c r="D49" s="30" t="s">
        <v>213</v>
      </c>
      <c r="E49" s="30" t="s">
        <v>214</v>
      </c>
      <c r="F49" s="31" t="s">
        <v>54</v>
      </c>
      <c r="G49" s="28"/>
      <c r="H49" s="28"/>
      <c r="I49" s="28"/>
      <c r="J49" s="28"/>
      <c r="K49" s="28"/>
      <c r="L49" s="28"/>
      <c r="M49" s="28"/>
      <c r="N49" s="28"/>
      <c r="O49" s="28"/>
      <c r="P49" s="1"/>
      <c r="Q49" s="39"/>
      <c r="R49" s="1"/>
      <c r="S49" s="1"/>
      <c r="T49" s="1"/>
      <c r="U49" s="1"/>
      <c r="V49" s="1"/>
      <c r="W49" s="1"/>
      <c r="X49" s="1"/>
      <c r="Y49" s="1"/>
      <c r="Z49" s="1"/>
    </row>
    <row r="50" ht="12.75" customHeight="1" outlineLevel="1" spans="1:26">
      <c r="A50" s="29" t="s">
        <v>215</v>
      </c>
      <c r="B50" s="30" t="s">
        <v>216</v>
      </c>
      <c r="C50" s="30" t="s">
        <v>217</v>
      </c>
      <c r="D50" s="30" t="s">
        <v>218</v>
      </c>
      <c r="E50" s="30" t="s">
        <v>133</v>
      </c>
      <c r="F50" s="31" t="s">
        <v>54</v>
      </c>
      <c r="G50" s="28"/>
      <c r="H50" s="28"/>
      <c r="I50" s="28"/>
      <c r="J50" s="28"/>
      <c r="K50" s="28"/>
      <c r="L50" s="28"/>
      <c r="M50" s="28"/>
      <c r="N50" s="28"/>
      <c r="O50" s="28"/>
      <c r="P50" s="1"/>
      <c r="Q50" s="39"/>
      <c r="R50" s="1"/>
      <c r="S50" s="1"/>
      <c r="T50" s="1"/>
      <c r="U50" s="1"/>
      <c r="V50" s="1"/>
      <c r="W50" s="1"/>
      <c r="X50" s="1"/>
      <c r="Y50" s="1"/>
      <c r="Z50" s="1"/>
    </row>
    <row r="51" ht="12.75" customHeight="1" outlineLevel="1" spans="1:26">
      <c r="A51" s="29" t="s">
        <v>219</v>
      </c>
      <c r="B51" s="30" t="s">
        <v>220</v>
      </c>
      <c r="C51" s="30" t="s">
        <v>221</v>
      </c>
      <c r="D51" s="30" t="s">
        <v>222</v>
      </c>
      <c r="E51" s="30" t="s">
        <v>133</v>
      </c>
      <c r="F51" s="31" t="s">
        <v>54</v>
      </c>
      <c r="G51" s="28"/>
      <c r="H51" s="28"/>
      <c r="I51" s="28"/>
      <c r="J51" s="28"/>
      <c r="K51" s="28"/>
      <c r="L51" s="28"/>
      <c r="M51" s="28"/>
      <c r="N51" s="28"/>
      <c r="O51" s="28"/>
      <c r="P51" s="1"/>
      <c r="Q51" s="39"/>
      <c r="R51" s="1"/>
      <c r="S51" s="1"/>
      <c r="T51" s="1"/>
      <c r="U51" s="1"/>
      <c r="V51" s="1"/>
      <c r="W51" s="1"/>
      <c r="X51" s="1"/>
      <c r="Y51" s="1"/>
      <c r="Z51" s="1"/>
    </row>
    <row r="52" ht="12.75" customHeight="1" outlineLevel="1" spans="1:26">
      <c r="A52" s="43" t="s">
        <v>223</v>
      </c>
      <c r="B52" s="28"/>
      <c r="C52" s="28"/>
      <c r="D52" s="28"/>
      <c r="E52" s="28"/>
      <c r="F52" s="28"/>
      <c r="G52" s="28"/>
      <c r="H52" s="28"/>
      <c r="I52" s="28"/>
      <c r="J52" s="28"/>
      <c r="K52" s="28"/>
      <c r="L52" s="28"/>
      <c r="M52" s="28"/>
      <c r="N52" s="28"/>
      <c r="O52" s="28"/>
      <c r="P52" s="1"/>
      <c r="Q52" s="39"/>
      <c r="R52" s="1"/>
      <c r="S52" s="1"/>
      <c r="T52" s="1"/>
      <c r="U52" s="1"/>
      <c r="V52" s="1"/>
      <c r="W52" s="1"/>
      <c r="X52" s="1"/>
      <c r="Y52" s="1"/>
      <c r="Z52" s="1"/>
    </row>
    <row r="53" ht="12.75" customHeight="1" outlineLevel="1" spans="1:26">
      <c r="A53" s="29" t="s">
        <v>224</v>
      </c>
      <c r="B53" s="30" t="s">
        <v>225</v>
      </c>
      <c r="C53" s="30" t="s">
        <v>226</v>
      </c>
      <c r="D53" s="30" t="s">
        <v>227</v>
      </c>
      <c r="E53" s="30" t="s">
        <v>214</v>
      </c>
      <c r="F53" s="31" t="s">
        <v>54</v>
      </c>
      <c r="G53" s="28"/>
      <c r="H53" s="28"/>
      <c r="I53" s="28"/>
      <c r="J53" s="28"/>
      <c r="K53" s="28"/>
      <c r="L53" s="28"/>
      <c r="M53" s="28"/>
      <c r="N53" s="28"/>
      <c r="O53" s="28"/>
      <c r="P53" s="1"/>
      <c r="Q53" s="39"/>
      <c r="R53" s="1"/>
      <c r="S53" s="1"/>
      <c r="T53" s="1"/>
      <c r="U53" s="1"/>
      <c r="V53" s="1"/>
      <c r="W53" s="1"/>
      <c r="X53" s="1"/>
      <c r="Y53" s="1"/>
      <c r="Z53" s="1"/>
    </row>
    <row r="54" ht="12.75" customHeight="1" outlineLevel="1" spans="1:26">
      <c r="A54" s="29" t="s">
        <v>228</v>
      </c>
      <c r="B54" s="30" t="s">
        <v>229</v>
      </c>
      <c r="C54" s="30" t="s">
        <v>230</v>
      </c>
      <c r="D54" s="30" t="s">
        <v>231</v>
      </c>
      <c r="E54" s="30" t="s">
        <v>133</v>
      </c>
      <c r="F54" s="31" t="s">
        <v>54</v>
      </c>
      <c r="G54" s="28"/>
      <c r="H54" s="28"/>
      <c r="I54" s="28"/>
      <c r="J54" s="28"/>
      <c r="K54" s="28"/>
      <c r="L54" s="28"/>
      <c r="M54" s="28"/>
      <c r="N54" s="28"/>
      <c r="O54" s="28"/>
      <c r="P54" s="1"/>
      <c r="Q54" s="39"/>
      <c r="R54" s="1"/>
      <c r="S54" s="1"/>
      <c r="T54" s="1"/>
      <c r="U54" s="1"/>
      <c r="V54" s="1"/>
      <c r="W54" s="1"/>
      <c r="X54" s="1"/>
      <c r="Y54" s="1"/>
      <c r="Z54" s="1"/>
    </row>
    <row r="55" ht="12.75" customHeight="1" outlineLevel="1" spans="1:26">
      <c r="A55" s="29" t="s">
        <v>232</v>
      </c>
      <c r="B55" s="30" t="s">
        <v>233</v>
      </c>
      <c r="C55" s="30" t="s">
        <v>234</v>
      </c>
      <c r="D55" s="30" t="s">
        <v>235</v>
      </c>
      <c r="E55" s="30" t="s">
        <v>133</v>
      </c>
      <c r="F55" s="31" t="s">
        <v>54</v>
      </c>
      <c r="G55" s="28"/>
      <c r="H55" s="28"/>
      <c r="I55" s="28"/>
      <c r="J55" s="28"/>
      <c r="K55" s="28"/>
      <c r="L55" s="28"/>
      <c r="M55" s="28"/>
      <c r="N55" s="28"/>
      <c r="O55" s="28"/>
      <c r="P55" s="1"/>
      <c r="Q55" s="39"/>
      <c r="R55" s="1"/>
      <c r="S55" s="1"/>
      <c r="T55" s="1"/>
      <c r="U55" s="1"/>
      <c r="V55" s="1"/>
      <c r="W55" s="1"/>
      <c r="X55" s="1"/>
      <c r="Y55" s="1"/>
      <c r="Z55" s="1"/>
    </row>
    <row r="56" ht="12.75" customHeight="1" outlineLevel="1" spans="1:26">
      <c r="A56" s="29" t="s">
        <v>236</v>
      </c>
      <c r="B56" s="30" t="s">
        <v>237</v>
      </c>
      <c r="C56" s="30" t="s">
        <v>238</v>
      </c>
      <c r="D56" s="30" t="s">
        <v>239</v>
      </c>
      <c r="E56" s="30" t="s">
        <v>133</v>
      </c>
      <c r="F56" s="31" t="s">
        <v>54</v>
      </c>
      <c r="G56" s="28"/>
      <c r="H56" s="28"/>
      <c r="I56" s="28"/>
      <c r="J56" s="28"/>
      <c r="K56" s="28"/>
      <c r="L56" s="28"/>
      <c r="M56" s="28"/>
      <c r="N56" s="28"/>
      <c r="O56" s="28"/>
      <c r="P56" s="1"/>
      <c r="Q56" s="39"/>
      <c r="R56" s="1"/>
      <c r="S56" s="1"/>
      <c r="T56" s="1"/>
      <c r="U56" s="1"/>
      <c r="V56" s="1"/>
      <c r="W56" s="1"/>
      <c r="X56" s="1"/>
      <c r="Y56" s="1"/>
      <c r="Z56" s="1"/>
    </row>
    <row r="57" ht="12.75" customHeight="1" spans="1:26">
      <c r="A57" s="64" t="s">
        <v>240</v>
      </c>
      <c r="B57" s="65"/>
      <c r="C57" s="65"/>
      <c r="D57" s="65"/>
      <c r="E57" s="65"/>
      <c r="F57" s="31" t="s">
        <v>54</v>
      </c>
      <c r="G57" s="28"/>
      <c r="H57" s="28"/>
      <c r="I57" s="28"/>
      <c r="J57" s="28"/>
      <c r="K57" s="28"/>
      <c r="L57" s="28"/>
      <c r="M57" s="28"/>
      <c r="N57" s="28"/>
      <c r="O57" s="28"/>
      <c r="P57" s="1"/>
      <c r="Q57" s="35"/>
      <c r="R57" s="1"/>
      <c r="S57" s="1"/>
      <c r="T57" s="1"/>
      <c r="U57" s="1"/>
      <c r="V57" s="1"/>
      <c r="W57" s="1"/>
      <c r="X57" s="1"/>
      <c r="Y57" s="1"/>
      <c r="Z57" s="1"/>
    </row>
    <row r="58" ht="12.75" customHeight="1" spans="1:26">
      <c r="A58" s="29" t="s">
        <v>241</v>
      </c>
      <c r="B58" s="30" t="s">
        <v>242</v>
      </c>
      <c r="C58" s="30" t="s">
        <v>243</v>
      </c>
      <c r="D58" s="30" t="s">
        <v>244</v>
      </c>
      <c r="E58" s="30" t="s">
        <v>196</v>
      </c>
      <c r="F58" s="31" t="s">
        <v>54</v>
      </c>
      <c r="G58" s="28"/>
      <c r="H58" s="28"/>
      <c r="I58" s="28"/>
      <c r="J58" s="28"/>
      <c r="K58" s="28"/>
      <c r="L58" s="28"/>
      <c r="M58" s="28"/>
      <c r="N58" s="28"/>
      <c r="O58" s="28"/>
      <c r="P58" s="1"/>
      <c r="Q58" s="35"/>
      <c r="R58" s="1"/>
      <c r="S58" s="1"/>
      <c r="T58" s="1"/>
      <c r="U58" s="1"/>
      <c r="V58" s="1"/>
      <c r="W58" s="1"/>
      <c r="X58" s="1"/>
      <c r="Y58" s="1"/>
      <c r="Z58" s="1"/>
    </row>
    <row r="59" ht="12.75" customHeight="1" spans="1:26">
      <c r="A59" s="29" t="s">
        <v>245</v>
      </c>
      <c r="B59" s="30" t="s">
        <v>246</v>
      </c>
      <c r="C59" s="30" t="s">
        <v>247</v>
      </c>
      <c r="D59" s="30" t="s">
        <v>248</v>
      </c>
      <c r="E59" s="30" t="s">
        <v>151</v>
      </c>
      <c r="F59" s="31" t="s">
        <v>54</v>
      </c>
      <c r="G59" s="28"/>
      <c r="H59" s="28"/>
      <c r="I59" s="28"/>
      <c r="J59" s="28"/>
      <c r="K59" s="28"/>
      <c r="L59" s="28"/>
      <c r="M59" s="28"/>
      <c r="N59" s="28"/>
      <c r="O59" s="28"/>
      <c r="P59" s="1"/>
      <c r="Q59" s="35"/>
      <c r="R59" s="1"/>
      <c r="S59" s="1"/>
      <c r="T59" s="1"/>
      <c r="U59" s="1"/>
      <c r="V59" s="1"/>
      <c r="W59" s="1"/>
      <c r="X59" s="1"/>
      <c r="Y59" s="1"/>
      <c r="Z59" s="1"/>
    </row>
    <row r="60" ht="12.75" customHeight="1" spans="1:26">
      <c r="A60" s="29" t="s">
        <v>249</v>
      </c>
      <c r="B60" s="30" t="s">
        <v>250</v>
      </c>
      <c r="C60" s="30" t="s">
        <v>251</v>
      </c>
      <c r="D60" s="30" t="s">
        <v>252</v>
      </c>
      <c r="E60" s="30" t="s">
        <v>151</v>
      </c>
      <c r="F60" s="31" t="s">
        <v>54</v>
      </c>
      <c r="G60" s="28"/>
      <c r="H60" s="28"/>
      <c r="I60" s="28"/>
      <c r="J60" s="28"/>
      <c r="K60" s="28"/>
      <c r="L60" s="28"/>
      <c r="M60" s="28"/>
      <c r="N60" s="28"/>
      <c r="O60" s="28"/>
      <c r="P60" s="1"/>
      <c r="Q60" s="35"/>
      <c r="R60" s="1"/>
      <c r="S60" s="1"/>
      <c r="T60" s="1"/>
      <c r="U60" s="1"/>
      <c r="V60" s="1"/>
      <c r="W60" s="1"/>
      <c r="X60" s="1"/>
      <c r="Y60" s="1"/>
      <c r="Z60" s="1"/>
    </row>
    <row r="61" ht="12.75" customHeight="1" spans="1:26">
      <c r="A61" s="29" t="s">
        <v>253</v>
      </c>
      <c r="B61" s="30" t="s">
        <v>254</v>
      </c>
      <c r="C61" s="30" t="s">
        <v>255</v>
      </c>
      <c r="D61" s="30" t="s">
        <v>256</v>
      </c>
      <c r="E61" s="30" t="s">
        <v>257</v>
      </c>
      <c r="F61" s="31" t="s">
        <v>54</v>
      </c>
      <c r="G61" s="28"/>
      <c r="H61" s="28"/>
      <c r="I61" s="28"/>
      <c r="J61" s="28"/>
      <c r="K61" s="28"/>
      <c r="L61" s="28"/>
      <c r="M61" s="28"/>
      <c r="N61" s="28"/>
      <c r="O61" s="28"/>
      <c r="P61" s="1"/>
      <c r="Q61" s="35"/>
      <c r="R61" s="1"/>
      <c r="S61" s="1"/>
      <c r="T61" s="1"/>
      <c r="U61" s="1"/>
      <c r="V61" s="1"/>
      <c r="W61" s="1"/>
      <c r="X61" s="1"/>
      <c r="Y61" s="1"/>
      <c r="Z61" s="1"/>
    </row>
    <row r="62" ht="12.75" customHeight="1" spans="1:26">
      <c r="A62" s="29" t="s">
        <v>258</v>
      </c>
      <c r="B62" s="30" t="s">
        <v>259</v>
      </c>
      <c r="C62" s="30" t="s">
        <v>260</v>
      </c>
      <c r="D62" s="30" t="s">
        <v>261</v>
      </c>
      <c r="E62" s="30" t="s">
        <v>257</v>
      </c>
      <c r="F62" s="31" t="s">
        <v>54</v>
      </c>
      <c r="G62" s="28"/>
      <c r="H62" s="28"/>
      <c r="I62" s="28"/>
      <c r="J62" s="28"/>
      <c r="K62" s="28"/>
      <c r="L62" s="28"/>
      <c r="M62" s="28"/>
      <c r="N62" s="28"/>
      <c r="O62" s="28"/>
      <c r="P62" s="1"/>
      <c r="Q62" s="35"/>
      <c r="R62" s="1"/>
      <c r="S62" s="1"/>
      <c r="T62" s="1"/>
      <c r="U62" s="1"/>
      <c r="V62" s="1"/>
      <c r="W62" s="1"/>
      <c r="X62" s="1"/>
      <c r="Y62" s="1"/>
      <c r="Z62" s="1"/>
    </row>
    <row r="63" ht="12.75" customHeight="1" spans="1:26">
      <c r="A63" s="66" t="s">
        <v>262</v>
      </c>
      <c r="B63" s="30"/>
      <c r="C63" s="30"/>
      <c r="D63" s="30"/>
      <c r="E63" s="30"/>
      <c r="F63" s="28"/>
      <c r="G63" s="28"/>
      <c r="H63" s="28"/>
      <c r="I63" s="28"/>
      <c r="J63" s="28"/>
      <c r="K63" s="28"/>
      <c r="L63" s="28"/>
      <c r="M63" s="28"/>
      <c r="N63" s="28"/>
      <c r="O63" s="28"/>
      <c r="P63" s="1"/>
      <c r="Q63" s="35"/>
      <c r="R63" s="1"/>
      <c r="S63" s="1"/>
      <c r="T63" s="1"/>
      <c r="U63" s="1"/>
      <c r="V63" s="1"/>
      <c r="W63" s="1"/>
      <c r="X63" s="1"/>
      <c r="Y63" s="1"/>
      <c r="Z63" s="1"/>
    </row>
    <row r="64" ht="12.75" customHeight="1" spans="1:26">
      <c r="A64" s="29" t="s">
        <v>263</v>
      </c>
      <c r="B64" s="30" t="s">
        <v>264</v>
      </c>
      <c r="C64" s="30" t="s">
        <v>265</v>
      </c>
      <c r="D64" s="30" t="s">
        <v>266</v>
      </c>
      <c r="E64" s="30" t="s">
        <v>267</v>
      </c>
      <c r="F64" s="31" t="s">
        <v>54</v>
      </c>
      <c r="G64" s="28"/>
      <c r="H64" s="28"/>
      <c r="I64" s="28"/>
      <c r="J64" s="28"/>
      <c r="K64" s="28"/>
      <c r="L64" s="28"/>
      <c r="M64" s="28"/>
      <c r="N64" s="28"/>
      <c r="O64" s="28"/>
      <c r="P64" s="1"/>
      <c r="Q64" s="35"/>
      <c r="R64" s="1"/>
      <c r="S64" s="1"/>
      <c r="T64" s="1"/>
      <c r="U64" s="1"/>
      <c r="V64" s="1"/>
      <c r="W64" s="1"/>
      <c r="X64" s="1"/>
      <c r="Y64" s="1"/>
      <c r="Z64" s="1"/>
    </row>
    <row r="65" ht="12.75" customHeight="1" spans="1:26">
      <c r="A65" s="29" t="s">
        <v>268</v>
      </c>
      <c r="B65" s="30" t="s">
        <v>269</v>
      </c>
      <c r="C65" s="30" t="s">
        <v>270</v>
      </c>
      <c r="D65" s="30" t="s">
        <v>271</v>
      </c>
      <c r="E65" s="30" t="s">
        <v>151</v>
      </c>
      <c r="F65" s="31" t="s">
        <v>54</v>
      </c>
      <c r="G65" s="28"/>
      <c r="H65" s="28"/>
      <c r="I65" s="28"/>
      <c r="J65" s="28"/>
      <c r="K65" s="28"/>
      <c r="L65" s="28"/>
      <c r="M65" s="28"/>
      <c r="N65" s="28"/>
      <c r="O65" s="28"/>
      <c r="P65" s="1"/>
      <c r="Q65" s="35"/>
      <c r="R65" s="1"/>
      <c r="S65" s="1"/>
      <c r="T65" s="1"/>
      <c r="U65" s="1"/>
      <c r="V65" s="1"/>
      <c r="W65" s="1"/>
      <c r="X65" s="1"/>
      <c r="Y65" s="1"/>
      <c r="Z65" s="1"/>
    </row>
    <row r="66" ht="12.75" customHeight="1" spans="1:26">
      <c r="A66" s="29" t="s">
        <v>272</v>
      </c>
      <c r="B66" s="30" t="s">
        <v>273</v>
      </c>
      <c r="C66" s="30" t="s">
        <v>274</v>
      </c>
      <c r="D66" s="30" t="s">
        <v>222</v>
      </c>
      <c r="E66" s="30" t="s">
        <v>151</v>
      </c>
      <c r="F66" s="31" t="s">
        <v>54</v>
      </c>
      <c r="G66" s="28"/>
      <c r="H66" s="28"/>
      <c r="I66" s="28"/>
      <c r="J66" s="28"/>
      <c r="K66" s="28"/>
      <c r="L66" s="28"/>
      <c r="M66" s="28"/>
      <c r="N66" s="28"/>
      <c r="O66" s="28"/>
      <c r="P66" s="1"/>
      <c r="Q66" s="35"/>
      <c r="R66" s="1"/>
      <c r="S66" s="1"/>
      <c r="T66" s="1"/>
      <c r="U66" s="1"/>
      <c r="V66" s="1"/>
      <c r="W66" s="1"/>
      <c r="X66" s="1"/>
      <c r="Y66" s="1"/>
      <c r="Z66" s="1"/>
    </row>
    <row r="67" ht="12.75" customHeight="1" spans="1:26">
      <c r="A67" s="29" t="s">
        <v>275</v>
      </c>
      <c r="B67" s="30" t="s">
        <v>276</v>
      </c>
      <c r="C67" s="30" t="s">
        <v>277</v>
      </c>
      <c r="D67" s="30" t="s">
        <v>278</v>
      </c>
      <c r="E67" s="30" t="s">
        <v>151</v>
      </c>
      <c r="F67" s="31" t="s">
        <v>54</v>
      </c>
      <c r="G67" s="28"/>
      <c r="H67" s="28"/>
      <c r="I67" s="28"/>
      <c r="J67" s="28"/>
      <c r="K67" s="28"/>
      <c r="L67" s="28"/>
      <c r="M67" s="28"/>
      <c r="N67" s="28"/>
      <c r="O67" s="28"/>
      <c r="P67" s="1"/>
      <c r="Q67" s="35"/>
      <c r="R67" s="1"/>
      <c r="S67" s="1"/>
      <c r="T67" s="1"/>
      <c r="U67" s="1"/>
      <c r="V67" s="1"/>
      <c r="W67" s="1"/>
      <c r="X67" s="1"/>
      <c r="Y67" s="1"/>
      <c r="Z67" s="1"/>
    </row>
    <row r="68" ht="12.75" customHeight="1" spans="1:26">
      <c r="A68" s="29" t="s">
        <v>279</v>
      </c>
      <c r="B68" s="30" t="s">
        <v>280</v>
      </c>
      <c r="C68" s="30" t="s">
        <v>281</v>
      </c>
      <c r="D68" s="30" t="s">
        <v>282</v>
      </c>
      <c r="E68" s="30" t="s">
        <v>151</v>
      </c>
      <c r="F68" s="31" t="s">
        <v>54</v>
      </c>
      <c r="G68" s="28"/>
      <c r="H68" s="28"/>
      <c r="I68" s="28"/>
      <c r="J68" s="28"/>
      <c r="K68" s="28"/>
      <c r="L68" s="28"/>
      <c r="M68" s="28"/>
      <c r="N68" s="28"/>
      <c r="O68" s="28"/>
      <c r="P68" s="1"/>
      <c r="Q68" s="35"/>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35"/>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35"/>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35"/>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35"/>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35"/>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35"/>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35"/>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35"/>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35"/>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35"/>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35"/>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35"/>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35"/>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35"/>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35"/>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35"/>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35"/>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35"/>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35"/>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35"/>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35"/>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35"/>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35"/>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35"/>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35"/>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35"/>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35"/>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35"/>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35"/>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35"/>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35"/>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35"/>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35"/>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35"/>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35"/>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35"/>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35"/>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35"/>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35"/>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35"/>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35"/>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35"/>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35"/>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35"/>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35"/>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35"/>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35"/>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35"/>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35"/>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35"/>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35"/>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35"/>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35"/>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35"/>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35"/>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35"/>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35"/>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35"/>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35"/>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35"/>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35"/>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35"/>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35"/>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35"/>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35"/>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35"/>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35"/>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35"/>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35"/>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35"/>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35"/>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35"/>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35"/>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35"/>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35"/>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35"/>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35"/>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35"/>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35"/>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35"/>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35"/>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35"/>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35"/>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35"/>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35"/>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35"/>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35"/>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35"/>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35"/>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35"/>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35"/>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35"/>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35"/>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35"/>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35"/>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35"/>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35"/>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35"/>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35"/>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35"/>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35"/>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35"/>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35"/>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35"/>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35"/>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35"/>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35"/>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35"/>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35"/>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35"/>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35"/>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35"/>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35"/>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35"/>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35"/>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35"/>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35"/>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35"/>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35"/>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35"/>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35"/>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35"/>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35"/>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35"/>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35"/>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35"/>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35"/>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35"/>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35"/>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35"/>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35"/>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35"/>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35"/>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35"/>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35"/>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35"/>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35"/>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35"/>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35"/>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35"/>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35"/>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35"/>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35"/>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35"/>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35"/>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35"/>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35"/>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35"/>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35"/>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35"/>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35"/>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35"/>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35"/>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35"/>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35"/>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35"/>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35"/>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35"/>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35"/>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35"/>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35"/>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35"/>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35"/>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35"/>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35"/>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35"/>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35"/>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35"/>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35"/>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35"/>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35"/>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35"/>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35"/>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35"/>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35"/>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35"/>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35"/>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35"/>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35"/>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35"/>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35"/>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35"/>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35"/>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35"/>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35"/>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35"/>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35"/>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35"/>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35"/>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35"/>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35"/>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35"/>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35"/>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35"/>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35"/>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35"/>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35"/>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35"/>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35"/>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35"/>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35"/>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35"/>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35"/>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35"/>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35"/>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35"/>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35"/>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35"/>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35"/>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35"/>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35"/>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35"/>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35"/>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35"/>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35"/>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35"/>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35"/>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35"/>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35"/>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35"/>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35"/>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35"/>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35"/>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35"/>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35"/>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35"/>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35"/>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35"/>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35"/>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35"/>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35"/>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35"/>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35"/>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35"/>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35"/>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35"/>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35"/>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35"/>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35"/>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35"/>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35"/>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35"/>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35"/>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35"/>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35"/>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35"/>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35"/>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35"/>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35"/>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35"/>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35"/>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35"/>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35"/>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35"/>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35"/>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35"/>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35"/>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35"/>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35"/>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35"/>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35"/>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35"/>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35"/>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35"/>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35"/>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35"/>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35"/>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35"/>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35"/>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35"/>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35"/>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35"/>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35"/>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35"/>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35"/>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35"/>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35"/>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35"/>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35"/>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35"/>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35"/>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35"/>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35"/>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35"/>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35"/>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35"/>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35"/>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35"/>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35"/>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35"/>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35"/>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35"/>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35"/>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35"/>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35"/>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35"/>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35"/>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35"/>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35"/>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35"/>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35"/>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35"/>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35"/>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35"/>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35"/>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35"/>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35"/>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35"/>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35"/>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35"/>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35"/>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35"/>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35"/>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35"/>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35"/>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35"/>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35"/>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35"/>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35"/>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35"/>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35"/>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35"/>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35"/>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35"/>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35"/>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35"/>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35"/>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35"/>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35"/>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35"/>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35"/>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35"/>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35"/>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35"/>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35"/>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35"/>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35"/>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35"/>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35"/>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35"/>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35"/>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35"/>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35"/>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35"/>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35"/>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35"/>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35"/>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35"/>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35"/>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35"/>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35"/>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35"/>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35"/>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35"/>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35"/>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35"/>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35"/>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35"/>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35"/>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35"/>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35"/>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35"/>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35"/>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35"/>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35"/>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35"/>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35"/>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35"/>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35"/>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35"/>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35"/>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35"/>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35"/>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35"/>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35"/>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35"/>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35"/>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35"/>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35"/>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35"/>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35"/>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35"/>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35"/>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35"/>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35"/>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35"/>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35"/>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35"/>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35"/>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35"/>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35"/>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35"/>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35"/>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35"/>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35"/>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35"/>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35"/>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35"/>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35"/>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35"/>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35"/>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35"/>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35"/>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35"/>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35"/>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35"/>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35"/>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35"/>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35"/>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35"/>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35"/>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35"/>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35"/>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35"/>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35"/>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35"/>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35"/>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35"/>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35"/>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35"/>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35"/>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35"/>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35"/>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35"/>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35"/>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35"/>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35"/>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35"/>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35"/>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35"/>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35"/>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35"/>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35"/>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35"/>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35"/>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35"/>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35"/>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35"/>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35"/>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35"/>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35"/>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35"/>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35"/>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35"/>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35"/>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35"/>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35"/>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35"/>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35"/>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35"/>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35"/>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35"/>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35"/>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35"/>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35"/>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35"/>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35"/>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35"/>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35"/>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35"/>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35"/>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35"/>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35"/>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35"/>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35"/>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35"/>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35"/>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35"/>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35"/>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35"/>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35"/>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35"/>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35"/>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35"/>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35"/>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35"/>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35"/>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35"/>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35"/>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35"/>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35"/>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35"/>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35"/>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35"/>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35"/>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35"/>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35"/>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35"/>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35"/>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35"/>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35"/>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35"/>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35"/>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35"/>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35"/>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35"/>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35"/>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35"/>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35"/>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35"/>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35"/>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35"/>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35"/>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35"/>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35"/>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35"/>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35"/>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35"/>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35"/>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35"/>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35"/>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35"/>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35"/>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35"/>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35"/>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35"/>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35"/>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35"/>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35"/>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35"/>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35"/>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35"/>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35"/>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35"/>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35"/>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35"/>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35"/>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35"/>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35"/>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35"/>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35"/>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35"/>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35"/>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35"/>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35"/>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35"/>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35"/>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35"/>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35"/>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35"/>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35"/>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35"/>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35"/>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35"/>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35"/>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35"/>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35"/>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35"/>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35"/>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35"/>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35"/>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35"/>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35"/>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35"/>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35"/>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35"/>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35"/>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35"/>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35"/>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35"/>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35"/>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35"/>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35"/>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35"/>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35"/>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35"/>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35"/>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35"/>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35"/>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35"/>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35"/>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35"/>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35"/>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35"/>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35"/>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35"/>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35"/>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35"/>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35"/>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35"/>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35"/>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35"/>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35"/>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35"/>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35"/>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35"/>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35"/>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35"/>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35"/>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35"/>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35"/>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35"/>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35"/>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35"/>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35"/>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35"/>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35"/>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35"/>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35"/>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35"/>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35"/>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35"/>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35"/>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35"/>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35"/>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35"/>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35"/>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35"/>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35"/>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35"/>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35"/>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35"/>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35"/>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35"/>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35"/>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35"/>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35"/>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35"/>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35"/>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35"/>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35"/>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35"/>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35"/>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35"/>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35"/>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35"/>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35"/>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35"/>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35"/>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35"/>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35"/>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35"/>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35"/>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35"/>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35"/>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35"/>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35"/>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35"/>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35"/>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35"/>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35"/>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35"/>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35"/>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35"/>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35"/>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35"/>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35"/>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35"/>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35"/>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35"/>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35"/>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35"/>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35"/>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35"/>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35"/>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35"/>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35"/>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35"/>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35"/>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35"/>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35"/>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35"/>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35"/>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35"/>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35"/>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35"/>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35"/>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35"/>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35"/>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35"/>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35"/>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35"/>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35"/>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35"/>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35"/>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35"/>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35"/>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35"/>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35"/>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35"/>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35"/>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35"/>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35"/>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35"/>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35"/>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35"/>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35"/>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35"/>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35"/>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35"/>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35"/>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35"/>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35"/>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35"/>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35"/>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35"/>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35"/>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35"/>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35"/>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35"/>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35"/>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35"/>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35"/>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35"/>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35"/>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35"/>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35"/>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35"/>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35"/>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35"/>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35"/>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35"/>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35"/>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35"/>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35"/>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35"/>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35"/>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35"/>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35"/>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35"/>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35"/>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35"/>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35"/>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35"/>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35"/>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35"/>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35"/>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35"/>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35"/>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35"/>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35"/>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35"/>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35"/>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35"/>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35"/>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35"/>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35"/>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35"/>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35"/>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35"/>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35"/>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35"/>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35"/>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35"/>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35"/>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35"/>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35"/>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35"/>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35"/>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35"/>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35"/>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35"/>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35"/>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35"/>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35"/>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35"/>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35"/>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35"/>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35"/>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35"/>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35"/>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35"/>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35"/>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35"/>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35"/>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35"/>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35"/>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35"/>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35"/>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35"/>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35"/>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35"/>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35"/>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35"/>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35"/>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35"/>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35"/>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35"/>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35"/>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35"/>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35"/>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35"/>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35"/>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35"/>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35"/>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35"/>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35"/>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35"/>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35"/>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35"/>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35"/>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35"/>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35"/>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35"/>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35"/>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35"/>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35"/>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35"/>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35"/>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35"/>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35"/>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35"/>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35"/>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35"/>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35"/>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35"/>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35"/>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35"/>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35"/>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35"/>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35"/>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35"/>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35"/>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35"/>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35"/>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35"/>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35"/>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35"/>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35"/>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35"/>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35"/>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35"/>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35"/>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35"/>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35"/>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35"/>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35"/>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35"/>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35"/>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35"/>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35"/>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35"/>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35"/>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35"/>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35"/>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35"/>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35"/>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35"/>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35"/>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35"/>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35"/>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35"/>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35"/>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35"/>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35"/>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35"/>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35"/>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35"/>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35"/>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35"/>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35"/>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35"/>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35"/>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35"/>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35"/>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35"/>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35"/>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35"/>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35"/>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35"/>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35"/>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35"/>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35"/>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35"/>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35"/>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35"/>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35"/>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35"/>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35"/>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35"/>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35"/>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35"/>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35"/>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35"/>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35"/>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35"/>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35"/>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35"/>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35"/>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35"/>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35"/>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35"/>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35"/>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35"/>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35"/>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35"/>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35"/>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35"/>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35"/>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35"/>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35"/>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35"/>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35"/>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35"/>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35"/>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35"/>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35"/>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35"/>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35"/>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35"/>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35"/>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35"/>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35"/>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35"/>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35"/>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35"/>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35"/>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35"/>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35"/>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35"/>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35"/>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35"/>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35"/>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35"/>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35"/>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35"/>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35"/>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35"/>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35"/>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35"/>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35"/>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35"/>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35"/>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35"/>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35"/>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35"/>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35"/>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35"/>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35"/>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35"/>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35"/>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35"/>
      <c r="R1000" s="1"/>
      <c r="S1000" s="1"/>
      <c r="T1000" s="1"/>
      <c r="U1000" s="1"/>
      <c r="V1000" s="1"/>
      <c r="W1000" s="1"/>
      <c r="X1000" s="1"/>
      <c r="Y1000" s="1"/>
      <c r="Z1000" s="1"/>
    </row>
    <row r="1001" ht="12.75" customHeight="1" spans="1:26">
      <c r="A1001" s="1"/>
      <c r="B1001" s="1"/>
      <c r="C1001" s="1"/>
      <c r="D1001" s="1"/>
      <c r="E1001" s="1"/>
      <c r="F1001" s="1"/>
      <c r="G1001" s="1"/>
      <c r="H1001" s="1"/>
      <c r="I1001" s="1"/>
      <c r="J1001" s="1"/>
      <c r="K1001" s="1"/>
      <c r="L1001" s="1"/>
      <c r="M1001" s="1"/>
      <c r="N1001" s="1"/>
      <c r="O1001" s="1"/>
      <c r="P1001" s="1"/>
      <c r="Q1001" s="35"/>
      <c r="R1001" s="1"/>
      <c r="S1001" s="1"/>
      <c r="T1001" s="1"/>
      <c r="U1001" s="1"/>
      <c r="V1001" s="1"/>
      <c r="W1001" s="1"/>
      <c r="X1001" s="1"/>
      <c r="Y1001" s="1"/>
      <c r="Z1001" s="1"/>
    </row>
    <row r="1002" ht="12.75" customHeight="1" spans="1:26">
      <c r="A1002" s="1"/>
      <c r="B1002" s="1"/>
      <c r="C1002" s="1"/>
      <c r="D1002" s="1"/>
      <c r="E1002" s="1"/>
      <c r="F1002" s="1"/>
      <c r="G1002" s="1"/>
      <c r="H1002" s="1"/>
      <c r="I1002" s="1"/>
      <c r="J1002" s="1"/>
      <c r="K1002" s="1"/>
      <c r="L1002" s="1"/>
      <c r="M1002" s="1"/>
      <c r="N1002" s="1"/>
      <c r="O1002" s="1"/>
      <c r="P1002" s="1"/>
      <c r="Q1002" s="35"/>
      <c r="R1002" s="1"/>
      <c r="S1002" s="1"/>
      <c r="T1002" s="1"/>
      <c r="U1002" s="1"/>
      <c r="V1002" s="1"/>
      <c r="W1002" s="1"/>
      <c r="X1002" s="1"/>
      <c r="Y1002" s="1"/>
      <c r="Z1002" s="1"/>
    </row>
    <row r="1003" ht="12.75" customHeight="1" spans="1:26">
      <c r="A1003" s="1"/>
      <c r="B1003" s="1"/>
      <c r="C1003" s="1"/>
      <c r="D1003" s="1"/>
      <c r="E1003" s="1"/>
      <c r="F1003" s="1"/>
      <c r="G1003" s="1"/>
      <c r="H1003" s="1"/>
      <c r="I1003" s="1"/>
      <c r="J1003" s="1"/>
      <c r="K1003" s="1"/>
      <c r="L1003" s="1"/>
      <c r="M1003" s="1"/>
      <c r="N1003" s="1"/>
      <c r="O1003" s="1"/>
      <c r="P1003" s="1"/>
      <c r="Q1003" s="35"/>
      <c r="R1003" s="1"/>
      <c r="S1003" s="1"/>
      <c r="T1003" s="1"/>
      <c r="U1003" s="1"/>
      <c r="V1003" s="1"/>
      <c r="W1003" s="1"/>
      <c r="X1003" s="1"/>
      <c r="Y1003" s="1"/>
      <c r="Z1003" s="1"/>
    </row>
    <row r="1004" ht="12.75" customHeight="1" spans="1:26">
      <c r="A1004" s="1"/>
      <c r="B1004" s="1"/>
      <c r="C1004" s="1"/>
      <c r="D1004" s="1"/>
      <c r="E1004" s="1"/>
      <c r="F1004" s="1"/>
      <c r="G1004" s="1"/>
      <c r="H1004" s="1"/>
      <c r="I1004" s="1"/>
      <c r="J1004" s="1"/>
      <c r="K1004" s="1"/>
      <c r="L1004" s="1"/>
      <c r="M1004" s="1"/>
      <c r="N1004" s="1"/>
      <c r="O1004" s="1"/>
      <c r="P1004" s="1"/>
      <c r="Q1004" s="35"/>
      <c r="R1004" s="1"/>
      <c r="S1004" s="1"/>
      <c r="T1004" s="1"/>
      <c r="U1004" s="1"/>
      <c r="V1004" s="1"/>
      <c r="W1004" s="1"/>
      <c r="X1004" s="1"/>
      <c r="Y1004" s="1"/>
      <c r="Z1004" s="1"/>
    </row>
    <row r="1005" ht="12.75" customHeight="1" spans="1:26">
      <c r="A1005" s="1"/>
      <c r="B1005" s="1"/>
      <c r="C1005" s="1"/>
      <c r="D1005" s="1"/>
      <c r="E1005" s="1"/>
      <c r="F1005" s="1"/>
      <c r="G1005" s="1"/>
      <c r="H1005" s="1"/>
      <c r="I1005" s="1"/>
      <c r="J1005" s="1"/>
      <c r="K1005" s="1"/>
      <c r="L1005" s="1"/>
      <c r="M1005" s="1"/>
      <c r="N1005" s="1"/>
      <c r="O1005" s="1"/>
      <c r="P1005" s="1"/>
      <c r="Q1005" s="35"/>
      <c r="R1005" s="1"/>
      <c r="S1005" s="1"/>
      <c r="T1005" s="1"/>
      <c r="U1005" s="1"/>
      <c r="V1005" s="1"/>
      <c r="W1005" s="1"/>
      <c r="X1005" s="1"/>
      <c r="Y1005" s="1"/>
      <c r="Z1005" s="1"/>
    </row>
    <row r="1006" ht="12.75" customHeight="1" spans="1:26">
      <c r="A1006" s="1"/>
      <c r="B1006" s="1"/>
      <c r="C1006" s="1"/>
      <c r="D1006" s="1"/>
      <c r="E1006" s="1"/>
      <c r="F1006" s="1"/>
      <c r="G1006" s="1"/>
      <c r="H1006" s="1"/>
      <c r="I1006" s="1"/>
      <c r="J1006" s="1"/>
      <c r="K1006" s="1"/>
      <c r="L1006" s="1"/>
      <c r="M1006" s="1"/>
      <c r="N1006" s="1"/>
      <c r="O1006" s="1"/>
      <c r="P1006" s="1"/>
      <c r="Q1006" s="35"/>
      <c r="R1006" s="1"/>
      <c r="S1006" s="1"/>
      <c r="T1006" s="1"/>
      <c r="U1006" s="1"/>
      <c r="V1006" s="1"/>
      <c r="W1006" s="1"/>
      <c r="X1006" s="1"/>
      <c r="Y1006" s="1"/>
      <c r="Z1006" s="1"/>
    </row>
    <row r="1007" ht="12.75" customHeight="1" spans="1:26">
      <c r="A1007" s="1"/>
      <c r="B1007" s="1"/>
      <c r="C1007" s="1"/>
      <c r="D1007" s="1"/>
      <c r="E1007" s="1"/>
      <c r="F1007" s="1"/>
      <c r="G1007" s="1"/>
      <c r="H1007" s="1"/>
      <c r="I1007" s="1"/>
      <c r="J1007" s="1"/>
      <c r="K1007" s="1"/>
      <c r="L1007" s="1"/>
      <c r="M1007" s="1"/>
      <c r="N1007" s="1"/>
      <c r="O1007" s="1"/>
      <c r="P1007" s="1"/>
      <c r="Q1007" s="35"/>
      <c r="R1007" s="1"/>
      <c r="S1007" s="1"/>
      <c r="T1007" s="1"/>
      <c r="U1007" s="1"/>
      <c r="V1007" s="1"/>
      <c r="W1007" s="1"/>
      <c r="X1007" s="1"/>
      <c r="Y1007" s="1"/>
      <c r="Z1007" s="1"/>
    </row>
    <row r="1008" ht="12.75" customHeight="1" spans="1:26">
      <c r="A1008" s="1"/>
      <c r="B1008" s="1"/>
      <c r="C1008" s="1"/>
      <c r="D1008" s="1"/>
      <c r="E1008" s="1"/>
      <c r="F1008" s="1"/>
      <c r="G1008" s="1"/>
      <c r="H1008" s="1"/>
      <c r="I1008" s="1"/>
      <c r="J1008" s="1"/>
      <c r="K1008" s="1"/>
      <c r="L1008" s="1"/>
      <c r="M1008" s="1"/>
      <c r="N1008" s="1"/>
      <c r="O1008" s="1"/>
      <c r="P1008" s="1"/>
      <c r="Q1008" s="35"/>
      <c r="R1008" s="1"/>
      <c r="S1008" s="1"/>
      <c r="T1008" s="1"/>
      <c r="U1008" s="1"/>
      <c r="V1008" s="1"/>
      <c r="W1008" s="1"/>
      <c r="X1008" s="1"/>
      <c r="Y1008" s="1"/>
      <c r="Z1008" s="1"/>
    </row>
    <row r="1009" ht="12.75" customHeight="1" spans="1:26">
      <c r="A1009" s="1"/>
      <c r="B1009" s="1"/>
      <c r="C1009" s="1"/>
      <c r="D1009" s="1"/>
      <c r="E1009" s="1"/>
      <c r="F1009" s="1"/>
      <c r="G1009" s="1"/>
      <c r="H1009" s="1"/>
      <c r="I1009" s="1"/>
      <c r="J1009" s="1"/>
      <c r="K1009" s="1"/>
      <c r="L1009" s="1"/>
      <c r="M1009" s="1"/>
      <c r="N1009" s="1"/>
      <c r="O1009" s="1"/>
      <c r="P1009" s="1"/>
      <c r="Q1009" s="35"/>
      <c r="R1009" s="1"/>
      <c r="S1009" s="1"/>
      <c r="T1009" s="1"/>
      <c r="U1009" s="1"/>
      <c r="V1009" s="1"/>
      <c r="W1009" s="1"/>
      <c r="X1009" s="1"/>
      <c r="Y1009" s="1"/>
      <c r="Z1009" s="1"/>
    </row>
    <row r="1010" ht="12.75" customHeight="1" spans="1:26">
      <c r="A1010" s="1"/>
      <c r="B1010" s="1"/>
      <c r="C1010" s="1"/>
      <c r="D1010" s="1"/>
      <c r="E1010" s="1"/>
      <c r="F1010" s="1"/>
      <c r="G1010" s="1"/>
      <c r="H1010" s="1"/>
      <c r="I1010" s="1"/>
      <c r="J1010" s="1"/>
      <c r="K1010" s="1"/>
      <c r="L1010" s="1"/>
      <c r="M1010" s="1"/>
      <c r="N1010" s="1"/>
      <c r="O1010" s="1"/>
      <c r="P1010" s="1"/>
      <c r="Q1010" s="35"/>
      <c r="R1010" s="1"/>
      <c r="S1010" s="1"/>
      <c r="T1010" s="1"/>
      <c r="U1010" s="1"/>
      <c r="V1010" s="1"/>
      <c r="W1010" s="1"/>
      <c r="X1010" s="1"/>
      <c r="Y1010" s="1"/>
      <c r="Z1010" s="1"/>
    </row>
    <row r="1011" ht="12.75" customHeight="1" spans="1:26">
      <c r="A1011" s="1"/>
      <c r="B1011" s="1"/>
      <c r="C1011" s="1"/>
      <c r="D1011" s="1"/>
      <c r="E1011" s="1"/>
      <c r="F1011" s="1"/>
      <c r="G1011" s="1"/>
      <c r="H1011" s="1"/>
      <c r="I1011" s="1"/>
      <c r="J1011" s="1"/>
      <c r="K1011" s="1"/>
      <c r="L1011" s="1"/>
      <c r="M1011" s="1"/>
      <c r="N1011" s="1"/>
      <c r="O1011" s="1"/>
      <c r="P1011" s="1"/>
      <c r="Q1011" s="35"/>
      <c r="R1011" s="1"/>
      <c r="S1011" s="1"/>
      <c r="T1011" s="1"/>
      <c r="U1011" s="1"/>
      <c r="V1011" s="1"/>
      <c r="W1011" s="1"/>
      <c r="X1011" s="1"/>
      <c r="Y1011" s="1"/>
      <c r="Z1011" s="1"/>
    </row>
    <row r="1012" ht="12.75" customHeight="1" spans="1:26">
      <c r="A1012" s="1"/>
      <c r="B1012" s="1"/>
      <c r="C1012" s="1"/>
      <c r="D1012" s="1"/>
      <c r="E1012" s="1"/>
      <c r="F1012" s="1"/>
      <c r="G1012" s="1"/>
      <c r="H1012" s="1"/>
      <c r="I1012" s="1"/>
      <c r="J1012" s="1"/>
      <c r="K1012" s="1"/>
      <c r="L1012" s="1"/>
      <c r="M1012" s="1"/>
      <c r="N1012" s="1"/>
      <c r="O1012" s="1"/>
      <c r="P1012" s="1"/>
      <c r="Q1012" s="35"/>
      <c r="R1012" s="1"/>
      <c r="S1012" s="1"/>
      <c r="T1012" s="1"/>
      <c r="U1012" s="1"/>
      <c r="V1012" s="1"/>
      <c r="W1012" s="1"/>
      <c r="X1012" s="1"/>
      <c r="Y1012" s="1"/>
      <c r="Z1012" s="1"/>
    </row>
    <row r="1013" ht="12.75" customHeight="1" spans="1:26">
      <c r="A1013" s="1"/>
      <c r="B1013" s="1"/>
      <c r="C1013" s="1"/>
      <c r="D1013" s="1"/>
      <c r="E1013" s="1"/>
      <c r="F1013" s="1"/>
      <c r="G1013" s="1"/>
      <c r="H1013" s="1"/>
      <c r="I1013" s="1"/>
      <c r="J1013" s="1"/>
      <c r="K1013" s="1"/>
      <c r="L1013" s="1"/>
      <c r="M1013" s="1"/>
      <c r="N1013" s="1"/>
      <c r="O1013" s="1"/>
      <c r="P1013" s="1"/>
      <c r="Q1013" s="35"/>
      <c r="R1013" s="1"/>
      <c r="S1013" s="1"/>
      <c r="T1013" s="1"/>
      <c r="U1013" s="1"/>
      <c r="V1013" s="1"/>
      <c r="W1013" s="1"/>
      <c r="X1013" s="1"/>
      <c r="Y1013" s="1"/>
      <c r="Z1013" s="1"/>
    </row>
    <row r="1014" ht="12.75" customHeight="1" spans="1:26">
      <c r="A1014" s="1"/>
      <c r="B1014" s="1"/>
      <c r="C1014" s="1"/>
      <c r="D1014" s="1"/>
      <c r="E1014" s="1"/>
      <c r="F1014" s="1"/>
      <c r="G1014" s="1"/>
      <c r="H1014" s="1"/>
      <c r="I1014" s="1"/>
      <c r="J1014" s="1"/>
      <c r="K1014" s="1"/>
      <c r="L1014" s="1"/>
      <c r="M1014" s="1"/>
      <c r="N1014" s="1"/>
      <c r="O1014" s="1"/>
      <c r="P1014" s="1"/>
      <c r="Q1014" s="35"/>
      <c r="R1014" s="1"/>
      <c r="S1014" s="1"/>
      <c r="T1014" s="1"/>
      <c r="U1014" s="1"/>
      <c r="V1014" s="1"/>
      <c r="W1014" s="1"/>
      <c r="X1014" s="1"/>
      <c r="Y1014" s="1"/>
      <c r="Z1014" s="1"/>
    </row>
    <row r="1015" ht="12.75" customHeight="1" spans="1:26">
      <c r="A1015" s="1"/>
      <c r="B1015" s="1"/>
      <c r="C1015" s="1"/>
      <c r="D1015" s="1"/>
      <c r="E1015" s="1"/>
      <c r="F1015" s="1"/>
      <c r="G1015" s="1"/>
      <c r="H1015" s="1"/>
      <c r="I1015" s="1"/>
      <c r="J1015" s="1"/>
      <c r="K1015" s="1"/>
      <c r="L1015" s="1"/>
      <c r="M1015" s="1"/>
      <c r="N1015" s="1"/>
      <c r="O1015" s="1"/>
      <c r="P1015" s="1"/>
      <c r="Q1015" s="35"/>
      <c r="R1015" s="1"/>
      <c r="S1015" s="1"/>
      <c r="T1015" s="1"/>
      <c r="U1015" s="1"/>
      <c r="V1015" s="1"/>
      <c r="W1015" s="1"/>
      <c r="X1015" s="1"/>
      <c r="Y1015" s="1"/>
      <c r="Z1015" s="1"/>
    </row>
    <row r="1016" ht="12.75" customHeight="1" spans="1:26">
      <c r="A1016" s="1"/>
      <c r="B1016" s="1"/>
      <c r="C1016" s="1"/>
      <c r="D1016" s="1"/>
      <c r="E1016" s="1"/>
      <c r="F1016" s="1"/>
      <c r="G1016" s="1"/>
      <c r="H1016" s="1"/>
      <c r="I1016" s="1"/>
      <c r="J1016" s="1"/>
      <c r="K1016" s="1"/>
      <c r="L1016" s="1"/>
      <c r="M1016" s="1"/>
      <c r="N1016" s="1"/>
      <c r="O1016" s="1"/>
      <c r="P1016" s="1"/>
      <c r="Q1016" s="35"/>
      <c r="R1016" s="1"/>
      <c r="S1016" s="1"/>
      <c r="T1016" s="1"/>
      <c r="U1016" s="1"/>
      <c r="V1016" s="1"/>
      <c r="W1016" s="1"/>
      <c r="X1016" s="1"/>
      <c r="Y1016" s="1"/>
      <c r="Z1016" s="1"/>
    </row>
    <row r="1017" ht="12.75" customHeight="1" spans="1:26">
      <c r="A1017" s="1"/>
      <c r="B1017" s="1"/>
      <c r="C1017" s="1"/>
      <c r="D1017" s="1"/>
      <c r="E1017" s="1"/>
      <c r="F1017" s="1"/>
      <c r="G1017" s="1"/>
      <c r="H1017" s="1"/>
      <c r="I1017" s="1"/>
      <c r="J1017" s="1"/>
      <c r="K1017" s="1"/>
      <c r="L1017" s="1"/>
      <c r="M1017" s="1"/>
      <c r="N1017" s="1"/>
      <c r="O1017" s="1"/>
      <c r="P1017" s="1"/>
      <c r="Q1017" s="35"/>
      <c r="R1017" s="1"/>
      <c r="S1017" s="1"/>
      <c r="T1017" s="1"/>
      <c r="U1017" s="1"/>
      <c r="V1017" s="1"/>
      <c r="W1017" s="1"/>
      <c r="X1017" s="1"/>
      <c r="Y1017" s="1"/>
      <c r="Z1017" s="1"/>
    </row>
    <row r="1018" ht="12.75" customHeight="1" spans="1:26">
      <c r="A1018" s="1"/>
      <c r="B1018" s="1"/>
      <c r="C1018" s="1"/>
      <c r="D1018" s="1"/>
      <c r="E1018" s="1"/>
      <c r="F1018" s="1"/>
      <c r="G1018" s="1"/>
      <c r="H1018" s="1"/>
      <c r="I1018" s="1"/>
      <c r="J1018" s="1"/>
      <c r="K1018" s="1"/>
      <c r="L1018" s="1"/>
      <c r="M1018" s="1"/>
      <c r="N1018" s="1"/>
      <c r="O1018" s="1"/>
      <c r="P1018" s="1"/>
      <c r="Q1018" s="35"/>
      <c r="R1018" s="1"/>
      <c r="S1018" s="1"/>
      <c r="T1018" s="1"/>
      <c r="U1018" s="1"/>
      <c r="V1018" s="1"/>
      <c r="W1018" s="1"/>
      <c r="X1018" s="1"/>
      <c r="Y1018" s="1"/>
      <c r="Z1018" s="1"/>
    </row>
    <row r="1019" ht="12.75" customHeight="1" spans="1:26">
      <c r="A1019" s="1"/>
      <c r="B1019" s="1"/>
      <c r="C1019" s="1"/>
      <c r="D1019" s="1"/>
      <c r="E1019" s="1"/>
      <c r="F1019" s="1"/>
      <c r="G1019" s="1"/>
      <c r="H1019" s="1"/>
      <c r="I1019" s="1"/>
      <c r="J1019" s="1"/>
      <c r="K1019" s="1"/>
      <c r="L1019" s="1"/>
      <c r="M1019" s="1"/>
      <c r="N1019" s="1"/>
      <c r="O1019" s="1"/>
      <c r="P1019" s="1"/>
      <c r="Q1019" s="35"/>
      <c r="R1019" s="1"/>
      <c r="S1019" s="1"/>
      <c r="T1019" s="1"/>
      <c r="U1019" s="1"/>
      <c r="V1019" s="1"/>
      <c r="W1019" s="1"/>
      <c r="X1019" s="1"/>
      <c r="Y1019" s="1"/>
      <c r="Z1019" s="1"/>
    </row>
    <row r="1020" ht="12.75" customHeight="1" spans="1:26">
      <c r="A1020" s="1"/>
      <c r="B1020" s="1"/>
      <c r="C1020" s="1"/>
      <c r="D1020" s="1"/>
      <c r="E1020" s="1"/>
      <c r="F1020" s="1"/>
      <c r="G1020" s="1"/>
      <c r="H1020" s="1"/>
      <c r="I1020" s="1"/>
      <c r="J1020" s="1"/>
      <c r="K1020" s="1"/>
      <c r="L1020" s="1"/>
      <c r="M1020" s="1"/>
      <c r="N1020" s="1"/>
      <c r="O1020" s="1"/>
      <c r="P1020" s="1"/>
      <c r="Q1020" s="35"/>
      <c r="R1020" s="1"/>
      <c r="S1020" s="1"/>
      <c r="T1020" s="1"/>
      <c r="U1020" s="1"/>
      <c r="V1020" s="1"/>
      <c r="W1020" s="1"/>
      <c r="X1020" s="1"/>
      <c r="Y1020" s="1"/>
      <c r="Z1020" s="1"/>
    </row>
    <row r="1021" ht="12.75" customHeight="1" spans="1:26">
      <c r="A1021" s="1"/>
      <c r="B1021" s="1"/>
      <c r="C1021" s="1"/>
      <c r="D1021" s="1"/>
      <c r="E1021" s="1"/>
      <c r="F1021" s="1"/>
      <c r="G1021" s="1"/>
      <c r="H1021" s="1"/>
      <c r="I1021" s="1"/>
      <c r="J1021" s="1"/>
      <c r="K1021" s="1"/>
      <c r="L1021" s="1"/>
      <c r="M1021" s="1"/>
      <c r="N1021" s="1"/>
      <c r="O1021" s="1"/>
      <c r="P1021" s="1"/>
      <c r="Q1021" s="35"/>
      <c r="R1021" s="1"/>
      <c r="S1021" s="1"/>
      <c r="T1021" s="1"/>
      <c r="U1021" s="1"/>
      <c r="V1021" s="1"/>
      <c r="W1021" s="1"/>
      <c r="X1021" s="1"/>
      <c r="Y1021" s="1"/>
      <c r="Z1021" s="1"/>
    </row>
    <row r="1022" ht="12.75" customHeight="1" spans="1:26">
      <c r="A1022" s="1"/>
      <c r="B1022" s="1"/>
      <c r="C1022" s="1"/>
      <c r="D1022" s="1"/>
      <c r="E1022" s="1"/>
      <c r="F1022" s="1"/>
      <c r="G1022" s="1"/>
      <c r="H1022" s="1"/>
      <c r="I1022" s="1"/>
      <c r="J1022" s="1"/>
      <c r="K1022" s="1"/>
      <c r="L1022" s="1"/>
      <c r="M1022" s="1"/>
      <c r="N1022" s="1"/>
      <c r="O1022" s="1"/>
      <c r="P1022" s="1"/>
      <c r="Q1022" s="35"/>
      <c r="R1022" s="1"/>
      <c r="S1022" s="1"/>
      <c r="T1022" s="1"/>
      <c r="U1022" s="1"/>
      <c r="V1022" s="1"/>
      <c r="W1022" s="1"/>
      <c r="X1022" s="1"/>
      <c r="Y1022" s="1"/>
      <c r="Z1022" s="1"/>
    </row>
    <row r="1023" ht="12.75" customHeight="1" spans="1:26">
      <c r="A1023" s="1"/>
      <c r="B1023" s="1"/>
      <c r="C1023" s="1"/>
      <c r="D1023" s="1"/>
      <c r="E1023" s="1"/>
      <c r="F1023" s="1"/>
      <c r="G1023" s="1"/>
      <c r="H1023" s="1"/>
      <c r="I1023" s="1"/>
      <c r="J1023" s="1"/>
      <c r="K1023" s="1"/>
      <c r="L1023" s="1"/>
      <c r="M1023" s="1"/>
      <c r="N1023" s="1"/>
      <c r="O1023" s="1"/>
      <c r="P1023" s="1"/>
      <c r="Q1023" s="35"/>
      <c r="R1023" s="1"/>
      <c r="S1023" s="1"/>
      <c r="T1023" s="1"/>
      <c r="U1023" s="1"/>
      <c r="V1023" s="1"/>
      <c r="W1023" s="1"/>
      <c r="X1023" s="1"/>
      <c r="Y1023" s="1"/>
      <c r="Z1023" s="1"/>
    </row>
    <row r="1024" ht="12.75" customHeight="1" spans="1:26">
      <c r="A1024" s="1"/>
      <c r="B1024" s="1"/>
      <c r="C1024" s="1"/>
      <c r="D1024" s="1"/>
      <c r="E1024" s="1"/>
      <c r="F1024" s="1"/>
      <c r="G1024" s="1"/>
      <c r="H1024" s="1"/>
      <c r="I1024" s="1"/>
      <c r="J1024" s="1"/>
      <c r="K1024" s="1"/>
      <c r="L1024" s="1"/>
      <c r="M1024" s="1"/>
      <c r="N1024" s="1"/>
      <c r="O1024" s="1"/>
      <c r="P1024" s="1"/>
      <c r="Q1024" s="35"/>
      <c r="R1024" s="1"/>
      <c r="S1024" s="1"/>
      <c r="T1024" s="1"/>
      <c r="U1024" s="1"/>
      <c r="V1024" s="1"/>
      <c r="W1024" s="1"/>
      <c r="X1024" s="1"/>
      <c r="Y1024" s="1"/>
      <c r="Z1024" s="1"/>
    </row>
    <row r="1025" ht="12.75" customHeight="1" spans="1:26">
      <c r="A1025" s="1"/>
      <c r="B1025" s="1"/>
      <c r="C1025" s="1"/>
      <c r="D1025" s="1"/>
      <c r="E1025" s="1"/>
      <c r="F1025" s="1"/>
      <c r="G1025" s="1"/>
      <c r="H1025" s="1"/>
      <c r="I1025" s="1"/>
      <c r="J1025" s="1"/>
      <c r="K1025" s="1"/>
      <c r="L1025" s="1"/>
      <c r="M1025" s="1"/>
      <c r="N1025" s="1"/>
      <c r="O1025" s="1"/>
      <c r="P1025" s="1"/>
      <c r="Q1025" s="35"/>
      <c r="R1025" s="1"/>
      <c r="S1025" s="1"/>
      <c r="T1025" s="1"/>
      <c r="U1025" s="1"/>
      <c r="V1025" s="1"/>
      <c r="W1025" s="1"/>
      <c r="X1025" s="1"/>
      <c r="Y1025" s="1"/>
      <c r="Z1025" s="1"/>
    </row>
    <row r="1026" ht="12.75" customHeight="1" spans="1:26">
      <c r="A1026" s="1"/>
      <c r="B1026" s="1"/>
      <c r="C1026" s="1"/>
      <c r="D1026" s="1"/>
      <c r="E1026" s="1"/>
      <c r="F1026" s="1"/>
      <c r="G1026" s="1"/>
      <c r="H1026" s="1"/>
      <c r="I1026" s="1"/>
      <c r="J1026" s="1"/>
      <c r="K1026" s="1"/>
      <c r="L1026" s="1"/>
      <c r="M1026" s="1"/>
      <c r="N1026" s="1"/>
      <c r="O1026" s="1"/>
      <c r="P1026" s="1"/>
      <c r="Q1026" s="35"/>
      <c r="R1026" s="1"/>
      <c r="S1026" s="1"/>
      <c r="T1026" s="1"/>
      <c r="U1026" s="1"/>
      <c r="V1026" s="1"/>
      <c r="W1026" s="1"/>
      <c r="X1026" s="1"/>
      <c r="Y1026" s="1"/>
      <c r="Z1026" s="1"/>
    </row>
    <row r="1027" ht="12.75" customHeight="1" spans="1:26">
      <c r="A1027" s="1"/>
      <c r="B1027" s="1"/>
      <c r="C1027" s="1"/>
      <c r="D1027" s="1"/>
      <c r="E1027" s="1"/>
      <c r="F1027" s="1"/>
      <c r="G1027" s="1"/>
      <c r="H1027" s="1"/>
      <c r="I1027" s="1"/>
      <c r="J1027" s="1"/>
      <c r="K1027" s="1"/>
      <c r="L1027" s="1"/>
      <c r="M1027" s="1"/>
      <c r="N1027" s="1"/>
      <c r="O1027" s="1"/>
      <c r="P1027" s="1"/>
      <c r="Q1027" s="35"/>
      <c r="R1027" s="1"/>
      <c r="S1027" s="1"/>
      <c r="T1027" s="1"/>
      <c r="U1027" s="1"/>
      <c r="V1027" s="1"/>
      <c r="W1027" s="1"/>
      <c r="X1027" s="1"/>
      <c r="Y1027" s="1"/>
      <c r="Z1027" s="1"/>
    </row>
  </sheetData>
  <mergeCells count="3">
    <mergeCell ref="B1:E1"/>
    <mergeCell ref="B2:E2"/>
    <mergeCell ref="B4:E4"/>
  </mergeCells>
  <dataValidations count="1">
    <dataValidation type="list" allowBlank="1" showErrorMessage="1" sqref="M9 F11:F68 G69:G169 I11:I68 J69:J169 L11:L68 M2:M3 M69:M169">
      <formula1>$R$2:$R$5</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20"/>
  <sheetViews>
    <sheetView workbookViewId="0">
      <pane ySplit="10" topLeftCell="A11" activePane="bottomLeft" state="frozen"/>
      <selection/>
      <selection pane="bottomLeft" activeCell="B12" sqref="B12"/>
    </sheetView>
  </sheetViews>
  <sheetFormatPr defaultColWidth="12.6296296296296" defaultRowHeight="15" customHeight="1"/>
  <cols>
    <col min="1" max="1" width="79.1296296296296" customWidth="1"/>
    <col min="2" max="2" width="34.5" customWidth="1"/>
    <col min="3" max="3" width="77.3796296296296" customWidth="1"/>
    <col min="4" max="4" width="34.6296296296296" customWidth="1"/>
    <col min="5" max="5" width="28.3796296296296" customWidth="1"/>
    <col min="6" max="6" width="9.37962962962963" customWidth="1"/>
    <col min="7" max="7" width="10.6296296296296" customWidth="1" outlineLevel="1"/>
    <col min="8" max="8" width="7" customWidth="1" outlineLevel="1"/>
    <col min="9" max="9" width="9.37962962962963" customWidth="1"/>
    <col min="10" max="10" width="10.6296296296296" customWidth="1" outlineLevel="1"/>
    <col min="11" max="11" width="7" customWidth="1" outlineLevel="1"/>
    <col min="12" max="12" width="9.37962962962963" customWidth="1"/>
    <col min="13" max="13" width="10.6296296296296" customWidth="1" outlineLevel="1"/>
    <col min="14" max="14" width="7"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1"/>
      <c r="C1" s="1"/>
      <c r="D1" s="1"/>
      <c r="E1" s="1"/>
      <c r="F1" s="1"/>
      <c r="G1" s="1"/>
      <c r="H1" s="1"/>
      <c r="I1" s="1"/>
      <c r="J1" s="1"/>
      <c r="K1" s="1"/>
      <c r="L1" s="1"/>
      <c r="M1" s="1"/>
      <c r="N1" s="1"/>
      <c r="O1" s="1"/>
      <c r="P1" s="1"/>
      <c r="Q1" s="35"/>
      <c r="R1" s="1"/>
      <c r="S1" s="1"/>
      <c r="T1" s="1"/>
      <c r="U1" s="1"/>
      <c r="V1" s="1"/>
      <c r="W1" s="1"/>
      <c r="X1" s="1"/>
      <c r="Y1" s="1"/>
      <c r="Z1" s="1"/>
    </row>
    <row r="2" customHeight="1" spans="1:26">
      <c r="A2" s="2" t="s">
        <v>63</v>
      </c>
      <c r="B2" s="3" t="s">
        <v>30</v>
      </c>
      <c r="C2" s="4"/>
      <c r="D2" s="4"/>
      <c r="E2" s="5"/>
      <c r="F2" s="6"/>
      <c r="G2" s="7"/>
      <c r="H2" s="8"/>
      <c r="I2" s="6"/>
      <c r="J2" s="7"/>
      <c r="K2" s="8"/>
      <c r="L2" s="6"/>
      <c r="M2" s="7"/>
      <c r="N2" s="8"/>
      <c r="O2" s="8"/>
      <c r="P2" s="8"/>
      <c r="Q2" s="36"/>
      <c r="R2" s="34" t="s">
        <v>54</v>
      </c>
      <c r="S2" s="34"/>
      <c r="T2" s="34"/>
      <c r="U2" s="34"/>
      <c r="V2" s="34"/>
      <c r="W2" s="34"/>
      <c r="X2" s="34"/>
      <c r="Y2" s="34"/>
      <c r="Z2" s="34"/>
    </row>
    <row r="3" ht="12.75" customHeight="1" spans="1:26">
      <c r="A3" s="9" t="s">
        <v>64</v>
      </c>
      <c r="B3" s="10" t="s">
        <v>283</v>
      </c>
      <c r="C3" s="11"/>
      <c r="D3" s="11"/>
      <c r="E3" s="12"/>
      <c r="F3" s="6"/>
      <c r="G3" s="7"/>
      <c r="H3" s="8"/>
      <c r="I3" s="6"/>
      <c r="J3" s="7"/>
      <c r="K3" s="8"/>
      <c r="L3" s="6"/>
      <c r="M3" s="7"/>
      <c r="N3" s="8"/>
      <c r="O3" s="8"/>
      <c r="P3" s="8"/>
      <c r="Q3" s="36"/>
      <c r="R3" s="34" t="s">
        <v>55</v>
      </c>
      <c r="S3" s="34"/>
      <c r="T3" s="34"/>
      <c r="U3" s="34"/>
      <c r="V3" s="34"/>
      <c r="W3" s="34"/>
      <c r="X3" s="34"/>
      <c r="Y3" s="34"/>
      <c r="Z3" s="34"/>
    </row>
    <row r="4" ht="18" customHeight="1" spans="1:26">
      <c r="A4" s="9" t="s">
        <v>66</v>
      </c>
      <c r="B4" s="10">
        <f>COUNTA(A12:A914)</f>
        <v>73</v>
      </c>
      <c r="C4" s="11"/>
      <c r="D4" s="11"/>
      <c r="E4" s="12"/>
      <c r="F4" s="6"/>
      <c r="G4" s="7"/>
      <c r="H4" s="8"/>
      <c r="I4" s="6"/>
      <c r="J4" s="7"/>
      <c r="K4" s="8"/>
      <c r="L4" s="6"/>
      <c r="M4" s="7"/>
      <c r="N4" s="8"/>
      <c r="O4" s="8"/>
      <c r="P4" s="8"/>
      <c r="Q4" s="36"/>
      <c r="R4" s="34" t="s">
        <v>56</v>
      </c>
      <c r="S4" s="34"/>
      <c r="T4" s="34"/>
      <c r="U4" s="34"/>
      <c r="V4" s="34"/>
      <c r="W4" s="34"/>
      <c r="X4" s="34"/>
      <c r="Y4" s="34"/>
      <c r="Z4" s="34"/>
    </row>
    <row r="5" ht="19.5" customHeight="1" spans="1:26">
      <c r="A5" s="13" t="s">
        <v>67</v>
      </c>
      <c r="B5" s="14" t="s">
        <v>54</v>
      </c>
      <c r="C5" s="14" t="s">
        <v>55</v>
      </c>
      <c r="D5" s="14" t="s">
        <v>56</v>
      </c>
      <c r="E5" s="15" t="s">
        <v>57</v>
      </c>
      <c r="F5" s="16"/>
      <c r="G5" s="16"/>
      <c r="H5" s="17"/>
      <c r="I5" s="16"/>
      <c r="J5" s="16"/>
      <c r="K5" s="17"/>
      <c r="L5" s="16"/>
      <c r="M5" s="16"/>
      <c r="N5" s="17"/>
      <c r="O5" s="17"/>
      <c r="P5" s="17"/>
      <c r="Q5" s="37"/>
      <c r="R5" s="34" t="s">
        <v>57</v>
      </c>
      <c r="S5" s="34"/>
      <c r="T5" s="34"/>
      <c r="U5" s="34"/>
      <c r="V5" s="34"/>
      <c r="W5" s="34"/>
      <c r="X5" s="34"/>
      <c r="Y5" s="34"/>
      <c r="Z5" s="34"/>
    </row>
    <row r="6" customHeight="1" spans="1:26">
      <c r="A6" s="13" t="s">
        <v>68</v>
      </c>
      <c r="B6" s="18">
        <f t="shared" ref="B6:E6" si="0">COUNTIF($F10:$F912,B5)</f>
        <v>73</v>
      </c>
      <c r="C6" s="18">
        <f t="shared" si="0"/>
        <v>0</v>
      </c>
      <c r="D6" s="18">
        <f t="shared" si="0"/>
        <v>0</v>
      </c>
      <c r="E6" s="19">
        <f t="shared" si="0"/>
        <v>0</v>
      </c>
      <c r="F6" s="20"/>
      <c r="G6" s="20"/>
      <c r="H6" s="17"/>
      <c r="I6" s="20"/>
      <c r="J6" s="20"/>
      <c r="K6" s="17"/>
      <c r="L6" s="20"/>
      <c r="M6" s="20"/>
      <c r="N6" s="17"/>
      <c r="O6" s="17"/>
      <c r="P6" s="17"/>
      <c r="Q6" s="37"/>
      <c r="R6" s="34"/>
      <c r="S6" s="34"/>
      <c r="T6" s="34"/>
      <c r="U6" s="34"/>
      <c r="V6" s="34"/>
      <c r="W6" s="34"/>
      <c r="X6" s="34"/>
      <c r="Y6" s="34"/>
      <c r="Z6" s="34"/>
    </row>
    <row r="7" customHeight="1" spans="1:26">
      <c r="A7" s="13" t="s">
        <v>69</v>
      </c>
      <c r="B7" s="18">
        <f t="shared" ref="B7:E7" si="1">COUNTIF($I10:$I912,B5)</f>
        <v>0</v>
      </c>
      <c r="C7" s="18">
        <f t="shared" si="1"/>
        <v>0</v>
      </c>
      <c r="D7" s="18">
        <f t="shared" si="1"/>
        <v>0</v>
      </c>
      <c r="E7" s="19">
        <f t="shared" si="1"/>
        <v>0</v>
      </c>
      <c r="F7" s="20"/>
      <c r="G7" s="20"/>
      <c r="H7" s="17"/>
      <c r="I7" s="20"/>
      <c r="J7" s="20"/>
      <c r="K7" s="17"/>
      <c r="L7" s="20"/>
      <c r="M7" s="20"/>
      <c r="N7" s="17"/>
      <c r="O7" s="17"/>
      <c r="P7" s="17"/>
      <c r="Q7" s="37"/>
      <c r="R7" s="34"/>
      <c r="S7" s="34"/>
      <c r="T7" s="34"/>
      <c r="U7" s="34"/>
      <c r="V7" s="34"/>
      <c r="W7" s="34"/>
      <c r="X7" s="34"/>
      <c r="Y7" s="34"/>
      <c r="Z7" s="34"/>
    </row>
    <row r="8" customHeight="1" spans="1:26">
      <c r="A8" s="21" t="s">
        <v>70</v>
      </c>
      <c r="B8" s="22">
        <f t="shared" ref="B8:E8" si="2">COUNTIF($L10:$L912,B5)</f>
        <v>0</v>
      </c>
      <c r="C8" s="22">
        <f t="shared" si="2"/>
        <v>0</v>
      </c>
      <c r="D8" s="22">
        <f t="shared" si="2"/>
        <v>0</v>
      </c>
      <c r="E8" s="23">
        <f t="shared" si="2"/>
        <v>0</v>
      </c>
      <c r="F8" s="20"/>
      <c r="G8" s="20"/>
      <c r="H8" s="17"/>
      <c r="I8" s="20"/>
      <c r="J8" s="20"/>
      <c r="K8" s="17"/>
      <c r="L8" s="20"/>
      <c r="M8" s="20"/>
      <c r="N8" s="17"/>
      <c r="O8" s="17"/>
      <c r="P8" s="17"/>
      <c r="Q8" s="37"/>
      <c r="R8" s="34"/>
      <c r="S8" s="34"/>
      <c r="T8" s="34"/>
      <c r="U8" s="34"/>
      <c r="V8" s="34"/>
      <c r="W8" s="34"/>
      <c r="X8" s="34"/>
      <c r="Y8" s="34"/>
      <c r="Z8" s="34"/>
    </row>
    <row r="9" customHeight="1" spans="1:26">
      <c r="A9" s="17"/>
      <c r="B9" s="17"/>
      <c r="C9" s="17"/>
      <c r="D9" s="17"/>
      <c r="E9" s="17"/>
      <c r="F9" s="24"/>
      <c r="G9" s="17"/>
      <c r="H9" s="17"/>
      <c r="I9" s="24"/>
      <c r="J9" s="17"/>
      <c r="K9" s="17"/>
      <c r="L9" s="24"/>
      <c r="M9" s="17"/>
      <c r="N9" s="17"/>
      <c r="O9" s="17"/>
      <c r="P9" s="17"/>
      <c r="Q9" s="37"/>
      <c r="R9" s="34"/>
      <c r="S9" s="34"/>
      <c r="T9" s="34"/>
      <c r="U9" s="34"/>
      <c r="V9" s="34"/>
      <c r="W9" s="34"/>
      <c r="X9" s="34"/>
      <c r="Y9" s="34"/>
      <c r="Z9" s="34"/>
    </row>
    <row r="10" ht="58.5" customHeight="1" spans="1:26">
      <c r="A10" s="25" t="s">
        <v>71</v>
      </c>
      <c r="B10" s="25" t="s">
        <v>72</v>
      </c>
      <c r="C10" s="25" t="s">
        <v>73</v>
      </c>
      <c r="D10" s="25" t="s">
        <v>74</v>
      </c>
      <c r="E10" s="25" t="s">
        <v>75</v>
      </c>
      <c r="F10" s="25" t="s">
        <v>68</v>
      </c>
      <c r="G10" s="25" t="s">
        <v>76</v>
      </c>
      <c r="H10" s="25" t="s">
        <v>77</v>
      </c>
      <c r="I10" s="25" t="s">
        <v>69</v>
      </c>
      <c r="J10" s="25" t="s">
        <v>76</v>
      </c>
      <c r="K10" s="25" t="s">
        <v>77</v>
      </c>
      <c r="L10" s="25" t="s">
        <v>70</v>
      </c>
      <c r="M10" s="25" t="s">
        <v>76</v>
      </c>
      <c r="N10" s="25" t="s">
        <v>77</v>
      </c>
      <c r="O10" s="25" t="s">
        <v>78</v>
      </c>
      <c r="P10" s="34"/>
      <c r="Q10" s="38"/>
      <c r="R10" s="34"/>
      <c r="S10" s="34"/>
      <c r="T10" s="34"/>
      <c r="U10" s="34"/>
      <c r="V10" s="34"/>
      <c r="W10" s="34"/>
      <c r="X10" s="34"/>
      <c r="Y10" s="34"/>
      <c r="Z10" s="34"/>
    </row>
    <row r="11" ht="12.75" customHeight="1" outlineLevel="1" spans="1:26">
      <c r="A11" s="43" t="s">
        <v>284</v>
      </c>
      <c r="B11" s="41"/>
      <c r="C11" s="41"/>
      <c r="D11" s="41"/>
      <c r="E11" s="41"/>
      <c r="F11" s="41"/>
      <c r="G11" s="44"/>
      <c r="H11" s="41"/>
      <c r="I11" s="41"/>
      <c r="J11" s="41"/>
      <c r="K11" s="41"/>
      <c r="L11" s="41"/>
      <c r="M11" s="41"/>
      <c r="N11" s="41"/>
      <c r="O11" s="41"/>
      <c r="P11" s="52"/>
      <c r="Q11" s="53"/>
      <c r="R11" s="52"/>
      <c r="S11" s="52"/>
      <c r="T11" s="52"/>
      <c r="U11" s="52"/>
      <c r="V11" s="52"/>
      <c r="W11" s="52"/>
      <c r="X11" s="52"/>
      <c r="Y11" s="52"/>
      <c r="Z11" s="52"/>
    </row>
    <row r="12" ht="12.75" customHeight="1" outlineLevel="1" spans="1:26">
      <c r="A12" s="45" t="s">
        <v>285</v>
      </c>
      <c r="B12" s="46" t="s">
        <v>286</v>
      </c>
      <c r="C12" s="46" t="s">
        <v>287</v>
      </c>
      <c r="D12" s="46" t="s">
        <v>288</v>
      </c>
      <c r="E12" s="46" t="s">
        <v>289</v>
      </c>
      <c r="F12" s="41" t="s">
        <v>54</v>
      </c>
      <c r="G12" s="44"/>
      <c r="H12" s="41"/>
      <c r="I12" s="41"/>
      <c r="J12" s="41"/>
      <c r="K12" s="41"/>
      <c r="L12" s="41"/>
      <c r="M12" s="41"/>
      <c r="N12" s="41"/>
      <c r="O12" s="41"/>
      <c r="P12" s="52"/>
      <c r="Q12" s="53"/>
      <c r="R12" s="52"/>
      <c r="S12" s="52"/>
      <c r="T12" s="52"/>
      <c r="U12" s="52"/>
      <c r="V12" s="52"/>
      <c r="W12" s="52"/>
      <c r="X12" s="52"/>
      <c r="Y12" s="52"/>
      <c r="Z12" s="52"/>
    </row>
    <row r="13" ht="12.75" customHeight="1" outlineLevel="1" spans="1:26">
      <c r="A13" s="45" t="s">
        <v>290</v>
      </c>
      <c r="B13" s="46" t="s">
        <v>291</v>
      </c>
      <c r="C13" s="46" t="s">
        <v>292</v>
      </c>
      <c r="D13" s="46" t="s">
        <v>293</v>
      </c>
      <c r="E13" s="46" t="s">
        <v>294</v>
      </c>
      <c r="F13" s="41" t="s">
        <v>54</v>
      </c>
      <c r="G13" s="44"/>
      <c r="H13" s="41"/>
      <c r="I13" s="41"/>
      <c r="J13" s="41"/>
      <c r="K13" s="41"/>
      <c r="L13" s="41"/>
      <c r="M13" s="41"/>
      <c r="N13" s="41"/>
      <c r="O13" s="41"/>
      <c r="P13" s="52"/>
      <c r="Q13" s="53"/>
      <c r="R13" s="52"/>
      <c r="S13" s="52"/>
      <c r="T13" s="52"/>
      <c r="U13" s="52"/>
      <c r="V13" s="52"/>
      <c r="W13" s="52"/>
      <c r="X13" s="52"/>
      <c r="Y13" s="52"/>
      <c r="Z13" s="52"/>
    </row>
    <row r="14" ht="12.75" customHeight="1" outlineLevel="1" spans="1:26">
      <c r="A14" s="45" t="s">
        <v>295</v>
      </c>
      <c r="B14" s="46" t="s">
        <v>296</v>
      </c>
      <c r="C14" s="46" t="s">
        <v>297</v>
      </c>
      <c r="D14" s="46" t="s">
        <v>298</v>
      </c>
      <c r="E14" s="46" t="s">
        <v>299</v>
      </c>
      <c r="F14" s="41" t="s">
        <v>54</v>
      </c>
      <c r="G14" s="41"/>
      <c r="H14" s="41"/>
      <c r="I14" s="41"/>
      <c r="J14" s="41"/>
      <c r="K14" s="41"/>
      <c r="L14" s="41"/>
      <c r="M14" s="41"/>
      <c r="N14" s="41"/>
      <c r="O14" s="41"/>
      <c r="P14" s="52"/>
      <c r="Q14" s="53"/>
      <c r="R14" s="52"/>
      <c r="S14" s="52"/>
      <c r="T14" s="52"/>
      <c r="U14" s="52"/>
      <c r="V14" s="52"/>
      <c r="W14" s="52"/>
      <c r="X14" s="52"/>
      <c r="Y14" s="52"/>
      <c r="Z14" s="52"/>
    </row>
    <row r="15" ht="12.75" customHeight="1" outlineLevel="1" spans="1:26">
      <c r="A15" s="45" t="s">
        <v>300</v>
      </c>
      <c r="B15" s="46" t="s">
        <v>135</v>
      </c>
      <c r="C15" s="46" t="s">
        <v>301</v>
      </c>
      <c r="D15" s="46" t="s">
        <v>302</v>
      </c>
      <c r="E15" s="46" t="s">
        <v>303</v>
      </c>
      <c r="F15" s="41" t="s">
        <v>54</v>
      </c>
      <c r="G15" s="41"/>
      <c r="H15" s="41"/>
      <c r="I15" s="41"/>
      <c r="J15" s="41"/>
      <c r="K15" s="41"/>
      <c r="L15" s="41"/>
      <c r="M15" s="41"/>
      <c r="N15" s="41"/>
      <c r="O15" s="41"/>
      <c r="P15" s="52"/>
      <c r="Q15" s="53"/>
      <c r="R15" s="52"/>
      <c r="S15" s="52"/>
      <c r="T15" s="52"/>
      <c r="U15" s="52"/>
      <c r="V15" s="52"/>
      <c r="W15" s="52"/>
      <c r="X15" s="52"/>
      <c r="Y15" s="52"/>
      <c r="Z15" s="52"/>
    </row>
    <row r="16" ht="12.75" customHeight="1" outlineLevel="1" spans="1:26">
      <c r="A16" s="45" t="s">
        <v>304</v>
      </c>
      <c r="B16" s="46" t="s">
        <v>305</v>
      </c>
      <c r="C16" s="46" t="s">
        <v>306</v>
      </c>
      <c r="D16" s="46" t="s">
        <v>307</v>
      </c>
      <c r="E16" s="46" t="s">
        <v>303</v>
      </c>
      <c r="F16" s="41" t="s">
        <v>54</v>
      </c>
      <c r="G16" s="41"/>
      <c r="H16" s="41"/>
      <c r="I16" s="41"/>
      <c r="J16" s="41"/>
      <c r="K16" s="41"/>
      <c r="L16" s="41"/>
      <c r="M16" s="41"/>
      <c r="N16" s="41"/>
      <c r="O16" s="41"/>
      <c r="P16" s="52"/>
      <c r="Q16" s="53"/>
      <c r="R16" s="52"/>
      <c r="S16" s="52"/>
      <c r="T16" s="52"/>
      <c r="U16" s="52"/>
      <c r="V16" s="52"/>
      <c r="W16" s="52"/>
      <c r="X16" s="52"/>
      <c r="Y16" s="52"/>
      <c r="Z16" s="52"/>
    </row>
    <row r="17" ht="12.75" customHeight="1" outlineLevel="1" spans="1:26">
      <c r="A17" s="47" t="s">
        <v>308</v>
      </c>
      <c r="B17" s="46"/>
      <c r="C17" s="46"/>
      <c r="D17" s="46"/>
      <c r="E17" s="46"/>
      <c r="F17" s="41" t="s">
        <v>54</v>
      </c>
      <c r="G17" s="41"/>
      <c r="H17" s="41"/>
      <c r="I17" s="41"/>
      <c r="J17" s="41"/>
      <c r="K17" s="41"/>
      <c r="L17" s="41"/>
      <c r="M17" s="41"/>
      <c r="N17" s="41"/>
      <c r="O17" s="41"/>
      <c r="P17" s="52"/>
      <c r="Q17" s="53"/>
      <c r="R17" s="52"/>
      <c r="S17" s="52"/>
      <c r="T17" s="52"/>
      <c r="U17" s="52"/>
      <c r="V17" s="52"/>
      <c r="W17" s="52"/>
      <c r="X17" s="52"/>
      <c r="Y17" s="52"/>
      <c r="Z17" s="52"/>
    </row>
    <row r="18" ht="12.75" customHeight="1" outlineLevel="1" spans="1:26">
      <c r="A18" s="29" t="s">
        <v>309</v>
      </c>
      <c r="B18" s="30" t="s">
        <v>310</v>
      </c>
      <c r="C18" s="30" t="s">
        <v>311</v>
      </c>
      <c r="D18" s="30" t="s">
        <v>312</v>
      </c>
      <c r="E18" s="30" t="s">
        <v>313</v>
      </c>
      <c r="F18" s="41" t="s">
        <v>54</v>
      </c>
      <c r="G18" s="41"/>
      <c r="H18" s="41"/>
      <c r="I18" s="41"/>
      <c r="J18" s="41"/>
      <c r="K18" s="41"/>
      <c r="L18" s="41"/>
      <c r="M18" s="41"/>
      <c r="N18" s="41"/>
      <c r="O18" s="41"/>
      <c r="P18" s="52"/>
      <c r="Q18" s="53"/>
      <c r="R18" s="52"/>
      <c r="S18" s="52"/>
      <c r="T18" s="52"/>
      <c r="U18" s="52"/>
      <c r="V18" s="52"/>
      <c r="W18" s="52"/>
      <c r="X18" s="52"/>
      <c r="Y18" s="52"/>
      <c r="Z18" s="52"/>
    </row>
    <row r="19" ht="12.75" customHeight="1" outlineLevel="1" spans="1:26">
      <c r="A19" s="29" t="s">
        <v>314</v>
      </c>
      <c r="B19" s="30" t="s">
        <v>315</v>
      </c>
      <c r="C19" s="30" t="s">
        <v>316</v>
      </c>
      <c r="D19" s="30" t="s">
        <v>317</v>
      </c>
      <c r="E19" s="30" t="s">
        <v>318</v>
      </c>
      <c r="F19" s="41" t="s">
        <v>54</v>
      </c>
      <c r="G19" s="41"/>
      <c r="H19" s="41"/>
      <c r="I19" s="41"/>
      <c r="J19" s="41"/>
      <c r="K19" s="41"/>
      <c r="L19" s="41"/>
      <c r="M19" s="41"/>
      <c r="N19" s="41"/>
      <c r="O19" s="41"/>
      <c r="P19" s="52"/>
      <c r="Q19" s="53"/>
      <c r="R19" s="52"/>
      <c r="S19" s="52"/>
      <c r="T19" s="52"/>
      <c r="U19" s="52"/>
      <c r="V19" s="52"/>
      <c r="W19" s="52"/>
      <c r="X19" s="52"/>
      <c r="Y19" s="52"/>
      <c r="Z19" s="52"/>
    </row>
    <row r="20" ht="13.8" spans="1:15">
      <c r="A20" s="29" t="s">
        <v>319</v>
      </c>
      <c r="B20" s="30" t="s">
        <v>320</v>
      </c>
      <c r="C20" s="30" t="s">
        <v>321</v>
      </c>
      <c r="D20" s="30" t="s">
        <v>322</v>
      </c>
      <c r="E20" s="30" t="s">
        <v>323</v>
      </c>
      <c r="F20" s="41" t="s">
        <v>54</v>
      </c>
      <c r="G20" s="41"/>
      <c r="H20" s="41"/>
      <c r="I20" s="41"/>
      <c r="J20" s="41"/>
      <c r="K20" s="41"/>
      <c r="L20" s="41"/>
      <c r="M20" s="41"/>
      <c r="N20" s="41"/>
      <c r="O20" s="41"/>
    </row>
    <row r="21" ht="13.8" spans="1:15">
      <c r="A21" s="29" t="s">
        <v>324</v>
      </c>
      <c r="B21" s="30" t="s">
        <v>325</v>
      </c>
      <c r="C21" s="30" t="s">
        <v>326</v>
      </c>
      <c r="D21" s="30" t="s">
        <v>327</v>
      </c>
      <c r="E21" s="30" t="s">
        <v>328</v>
      </c>
      <c r="F21" s="41" t="s">
        <v>54</v>
      </c>
      <c r="G21" s="41"/>
      <c r="H21" s="41"/>
      <c r="I21" s="41"/>
      <c r="J21" s="41"/>
      <c r="K21" s="41"/>
      <c r="L21" s="41"/>
      <c r="M21" s="41"/>
      <c r="N21" s="41"/>
      <c r="O21" s="41"/>
    </row>
    <row r="22" ht="12.75" customHeight="1" spans="1:26">
      <c r="A22" s="29" t="s">
        <v>329</v>
      </c>
      <c r="B22" s="30" t="s">
        <v>330</v>
      </c>
      <c r="C22" s="30" t="s">
        <v>331</v>
      </c>
      <c r="D22" s="30" t="s">
        <v>332</v>
      </c>
      <c r="E22" s="30" t="s">
        <v>328</v>
      </c>
      <c r="F22" s="41" t="s">
        <v>54</v>
      </c>
      <c r="G22" s="41"/>
      <c r="H22" s="41"/>
      <c r="I22" s="41"/>
      <c r="J22" s="41"/>
      <c r="K22" s="41"/>
      <c r="L22" s="41"/>
      <c r="M22" s="41"/>
      <c r="N22" s="41"/>
      <c r="O22" s="41"/>
      <c r="P22" s="1"/>
      <c r="Q22" s="35"/>
      <c r="R22" s="1"/>
      <c r="S22" s="1"/>
      <c r="T22" s="1"/>
      <c r="U22" s="1"/>
      <c r="V22" s="1"/>
      <c r="W22" s="1"/>
      <c r="X22" s="1"/>
      <c r="Y22" s="1"/>
      <c r="Z22" s="1"/>
    </row>
    <row r="23" ht="12.75" customHeight="1" spans="1:26">
      <c r="A23" s="29" t="s">
        <v>333</v>
      </c>
      <c r="B23" s="30" t="s">
        <v>334</v>
      </c>
      <c r="C23" s="30" t="s">
        <v>335</v>
      </c>
      <c r="D23" s="30" t="s">
        <v>336</v>
      </c>
      <c r="E23" s="30" t="s">
        <v>328</v>
      </c>
      <c r="F23" s="41" t="s">
        <v>54</v>
      </c>
      <c r="G23" s="41"/>
      <c r="H23" s="41"/>
      <c r="I23" s="41"/>
      <c r="J23" s="41"/>
      <c r="K23" s="41"/>
      <c r="L23" s="41"/>
      <c r="M23" s="41"/>
      <c r="N23" s="41"/>
      <c r="O23" s="41"/>
      <c r="P23" s="1"/>
      <c r="Q23" s="35"/>
      <c r="R23" s="1"/>
      <c r="S23" s="1"/>
      <c r="T23" s="1"/>
      <c r="U23" s="1"/>
      <c r="V23" s="1"/>
      <c r="W23" s="1"/>
      <c r="X23" s="1"/>
      <c r="Y23" s="1"/>
      <c r="Z23" s="1"/>
    </row>
    <row r="24" ht="12.75" customHeight="1" spans="1:26">
      <c r="A24" s="29" t="s">
        <v>337</v>
      </c>
      <c r="B24" s="30" t="s">
        <v>338</v>
      </c>
      <c r="C24" s="30" t="s">
        <v>339</v>
      </c>
      <c r="D24" s="30" t="s">
        <v>340</v>
      </c>
      <c r="E24" s="30" t="s">
        <v>328</v>
      </c>
      <c r="F24" s="41" t="s">
        <v>54</v>
      </c>
      <c r="G24" s="41"/>
      <c r="H24" s="41"/>
      <c r="I24" s="41"/>
      <c r="J24" s="41"/>
      <c r="K24" s="41"/>
      <c r="L24" s="41"/>
      <c r="M24" s="41"/>
      <c r="N24" s="41"/>
      <c r="O24" s="41"/>
      <c r="P24" s="1"/>
      <c r="Q24" s="35"/>
      <c r="R24" s="1"/>
      <c r="S24" s="1"/>
      <c r="T24" s="1"/>
      <c r="U24" s="1"/>
      <c r="V24" s="1"/>
      <c r="W24" s="1"/>
      <c r="X24" s="1"/>
      <c r="Y24" s="1"/>
      <c r="Z24" s="1"/>
    </row>
    <row r="25" ht="12.75" customHeight="1" spans="1:26">
      <c r="A25" s="48" t="s">
        <v>341</v>
      </c>
      <c r="B25" s="1"/>
      <c r="C25" s="1"/>
      <c r="D25" s="1"/>
      <c r="E25" s="1"/>
      <c r="F25" s="41" t="s">
        <v>54</v>
      </c>
      <c r="G25" s="41"/>
      <c r="H25" s="41"/>
      <c r="I25" s="41"/>
      <c r="J25" s="41"/>
      <c r="K25" s="41"/>
      <c r="L25" s="41"/>
      <c r="M25" s="41"/>
      <c r="N25" s="41"/>
      <c r="O25" s="41"/>
      <c r="P25" s="1"/>
      <c r="Q25" s="35"/>
      <c r="R25" s="1"/>
      <c r="S25" s="1"/>
      <c r="T25" s="1"/>
      <c r="U25" s="1"/>
      <c r="V25" s="1"/>
      <c r="W25" s="1"/>
      <c r="X25" s="1"/>
      <c r="Y25" s="1"/>
      <c r="Z25" s="1"/>
    </row>
    <row r="26" ht="12.75" customHeight="1" spans="1:26">
      <c r="A26" s="29" t="s">
        <v>342</v>
      </c>
      <c r="B26" s="30" t="s">
        <v>343</v>
      </c>
      <c r="C26" s="30" t="s">
        <v>344</v>
      </c>
      <c r="D26" s="30" t="s">
        <v>345</v>
      </c>
      <c r="E26" s="30" t="s">
        <v>346</v>
      </c>
      <c r="F26" s="41" t="s">
        <v>54</v>
      </c>
      <c r="G26" s="41"/>
      <c r="H26" s="41"/>
      <c r="I26" s="41"/>
      <c r="J26" s="41"/>
      <c r="K26" s="41"/>
      <c r="L26" s="41"/>
      <c r="M26" s="41"/>
      <c r="N26" s="41"/>
      <c r="O26" s="41"/>
      <c r="P26" s="1"/>
      <c r="Q26" s="35"/>
      <c r="R26" s="1"/>
      <c r="S26" s="1"/>
      <c r="T26" s="1"/>
      <c r="U26" s="1"/>
      <c r="V26" s="1"/>
      <c r="W26" s="1"/>
      <c r="X26" s="1"/>
      <c r="Y26" s="1"/>
      <c r="Z26" s="1"/>
    </row>
    <row r="27" ht="12.75" customHeight="1" spans="1:26">
      <c r="A27" s="29" t="s">
        <v>347</v>
      </c>
      <c r="B27" s="30" t="s">
        <v>348</v>
      </c>
      <c r="C27" s="30" t="s">
        <v>349</v>
      </c>
      <c r="D27" s="30" t="s">
        <v>350</v>
      </c>
      <c r="E27" s="30" t="s">
        <v>351</v>
      </c>
      <c r="F27" s="41" t="s">
        <v>54</v>
      </c>
      <c r="G27" s="41"/>
      <c r="H27" s="41"/>
      <c r="I27" s="41"/>
      <c r="J27" s="41"/>
      <c r="K27" s="41"/>
      <c r="L27" s="41"/>
      <c r="M27" s="41"/>
      <c r="N27" s="41"/>
      <c r="O27" s="41"/>
      <c r="P27" s="1"/>
      <c r="Q27" s="35"/>
      <c r="R27" s="1"/>
      <c r="S27" s="1"/>
      <c r="T27" s="1"/>
      <c r="U27" s="1"/>
      <c r="V27" s="1"/>
      <c r="W27" s="1"/>
      <c r="X27" s="1"/>
      <c r="Y27" s="1"/>
      <c r="Z27" s="1"/>
    </row>
    <row r="28" ht="12.75" customHeight="1" spans="1:26">
      <c r="A28" s="29" t="s">
        <v>352</v>
      </c>
      <c r="B28" s="30" t="s">
        <v>353</v>
      </c>
      <c r="C28" s="30" t="s">
        <v>354</v>
      </c>
      <c r="D28" s="30" t="s">
        <v>355</v>
      </c>
      <c r="E28" s="30" t="s">
        <v>351</v>
      </c>
      <c r="F28" s="41" t="s">
        <v>54</v>
      </c>
      <c r="G28" s="41"/>
      <c r="H28" s="41"/>
      <c r="I28" s="41"/>
      <c r="J28" s="41"/>
      <c r="K28" s="41"/>
      <c r="L28" s="41"/>
      <c r="M28" s="41"/>
      <c r="N28" s="41"/>
      <c r="O28" s="41"/>
      <c r="P28" s="1"/>
      <c r="Q28" s="35"/>
      <c r="R28" s="1"/>
      <c r="S28" s="1"/>
      <c r="T28" s="1"/>
      <c r="U28" s="1"/>
      <c r="V28" s="1"/>
      <c r="W28" s="1"/>
      <c r="X28" s="1"/>
      <c r="Y28" s="1"/>
      <c r="Z28" s="1"/>
    </row>
    <row r="29" ht="12.75" customHeight="1" spans="1:26">
      <c r="A29" s="29" t="s">
        <v>356</v>
      </c>
      <c r="B29" s="30" t="s">
        <v>357</v>
      </c>
      <c r="C29" s="30" t="s">
        <v>358</v>
      </c>
      <c r="D29" s="30" t="s">
        <v>359</v>
      </c>
      <c r="E29" s="30" t="s">
        <v>351</v>
      </c>
      <c r="F29" s="41" t="s">
        <v>54</v>
      </c>
      <c r="G29" s="41"/>
      <c r="H29" s="41"/>
      <c r="I29" s="41"/>
      <c r="J29" s="41"/>
      <c r="K29" s="41"/>
      <c r="L29" s="41"/>
      <c r="M29" s="41"/>
      <c r="N29" s="41"/>
      <c r="O29" s="41"/>
      <c r="P29" s="1"/>
      <c r="Q29" s="35"/>
      <c r="R29" s="1"/>
      <c r="S29" s="1"/>
      <c r="T29" s="1"/>
      <c r="U29" s="1"/>
      <c r="V29" s="1"/>
      <c r="W29" s="1"/>
      <c r="X29" s="1"/>
      <c r="Y29" s="1"/>
      <c r="Z29" s="1"/>
    </row>
    <row r="30" ht="12.75" customHeight="1" spans="1:26">
      <c r="A30" s="29" t="s">
        <v>360</v>
      </c>
      <c r="B30" s="30" t="s">
        <v>361</v>
      </c>
      <c r="C30" s="30" t="s">
        <v>362</v>
      </c>
      <c r="D30" s="30" t="s">
        <v>363</v>
      </c>
      <c r="E30" s="30" t="s">
        <v>364</v>
      </c>
      <c r="F30" s="41" t="s">
        <v>54</v>
      </c>
      <c r="G30" s="41"/>
      <c r="H30" s="41"/>
      <c r="I30" s="41"/>
      <c r="J30" s="41"/>
      <c r="K30" s="41"/>
      <c r="L30" s="41"/>
      <c r="M30" s="41"/>
      <c r="N30" s="41"/>
      <c r="O30" s="41"/>
      <c r="P30" s="1"/>
      <c r="Q30" s="35"/>
      <c r="R30" s="1"/>
      <c r="S30" s="1"/>
      <c r="T30" s="1"/>
      <c r="U30" s="1"/>
      <c r="V30" s="1"/>
      <c r="W30" s="1"/>
      <c r="X30" s="1"/>
      <c r="Y30" s="1"/>
      <c r="Z30" s="1"/>
    </row>
    <row r="31" ht="12.75" customHeight="1" spans="1:26">
      <c r="A31" s="29" t="s">
        <v>365</v>
      </c>
      <c r="B31" s="30" t="s">
        <v>366</v>
      </c>
      <c r="C31" s="30" t="s">
        <v>367</v>
      </c>
      <c r="D31" s="30" t="s">
        <v>368</v>
      </c>
      <c r="E31" s="30" t="s">
        <v>369</v>
      </c>
      <c r="F31" s="41" t="s">
        <v>54</v>
      </c>
      <c r="G31" s="41"/>
      <c r="H31" s="41"/>
      <c r="I31" s="41"/>
      <c r="J31" s="41"/>
      <c r="K31" s="41"/>
      <c r="L31" s="41"/>
      <c r="M31" s="41"/>
      <c r="N31" s="41"/>
      <c r="O31" s="41"/>
      <c r="P31" s="1"/>
      <c r="Q31" s="35"/>
      <c r="R31" s="1"/>
      <c r="S31" s="1"/>
      <c r="T31" s="1"/>
      <c r="U31" s="1"/>
      <c r="V31" s="1"/>
      <c r="W31" s="1"/>
      <c r="X31" s="1"/>
      <c r="Y31" s="1"/>
      <c r="Z31" s="1"/>
    </row>
    <row r="32" ht="12.75" customHeight="1" spans="1:26">
      <c r="A32" s="40" t="s">
        <v>370</v>
      </c>
      <c r="B32" s="1"/>
      <c r="C32" s="1"/>
      <c r="D32" s="1"/>
      <c r="E32" s="1"/>
      <c r="F32" s="41" t="s">
        <v>54</v>
      </c>
      <c r="G32" s="41"/>
      <c r="H32" s="41"/>
      <c r="I32" s="41"/>
      <c r="J32" s="41"/>
      <c r="K32" s="41"/>
      <c r="L32" s="41"/>
      <c r="M32" s="41"/>
      <c r="N32" s="41"/>
      <c r="O32" s="41"/>
      <c r="P32" s="1"/>
      <c r="Q32" s="35"/>
      <c r="R32" s="1"/>
      <c r="S32" s="1"/>
      <c r="T32" s="1"/>
      <c r="U32" s="1"/>
      <c r="V32" s="1"/>
      <c r="W32" s="1"/>
      <c r="X32" s="1"/>
      <c r="Y32" s="1"/>
      <c r="Z32" s="1"/>
    </row>
    <row r="33" ht="12.75" customHeight="1" spans="1:26">
      <c r="A33" s="29" t="s">
        <v>371</v>
      </c>
      <c r="B33" s="30" t="s">
        <v>372</v>
      </c>
      <c r="C33" s="30" t="s">
        <v>373</v>
      </c>
      <c r="D33" s="30" t="s">
        <v>374</v>
      </c>
      <c r="E33" s="30" t="s">
        <v>375</v>
      </c>
      <c r="F33" s="41" t="s">
        <v>54</v>
      </c>
      <c r="G33" s="41"/>
      <c r="H33" s="41"/>
      <c r="I33" s="41"/>
      <c r="J33" s="41"/>
      <c r="K33" s="41"/>
      <c r="L33" s="41"/>
      <c r="M33" s="41"/>
      <c r="N33" s="41"/>
      <c r="O33" s="41"/>
      <c r="P33" s="1"/>
      <c r="Q33" s="35"/>
      <c r="R33" s="1"/>
      <c r="S33" s="1"/>
      <c r="T33" s="1"/>
      <c r="U33" s="1"/>
      <c r="V33" s="1"/>
      <c r="W33" s="1"/>
      <c r="X33" s="1"/>
      <c r="Y33" s="1"/>
      <c r="Z33" s="1"/>
    </row>
    <row r="34" ht="12.75" customHeight="1" spans="1:26">
      <c r="A34" s="29" t="s">
        <v>376</v>
      </c>
      <c r="B34" s="30" t="s">
        <v>377</v>
      </c>
      <c r="C34" s="30" t="s">
        <v>378</v>
      </c>
      <c r="D34" s="30" t="s">
        <v>379</v>
      </c>
      <c r="E34" s="30" t="s">
        <v>380</v>
      </c>
      <c r="F34" s="41" t="s">
        <v>54</v>
      </c>
      <c r="G34" s="41"/>
      <c r="H34" s="41"/>
      <c r="I34" s="41"/>
      <c r="J34" s="41"/>
      <c r="K34" s="41"/>
      <c r="L34" s="41"/>
      <c r="M34" s="41"/>
      <c r="N34" s="41"/>
      <c r="O34" s="41"/>
      <c r="P34" s="1"/>
      <c r="Q34" s="35"/>
      <c r="R34" s="1"/>
      <c r="S34" s="1"/>
      <c r="T34" s="1"/>
      <c r="U34" s="1"/>
      <c r="V34" s="1"/>
      <c r="W34" s="1"/>
      <c r="X34" s="1"/>
      <c r="Y34" s="1"/>
      <c r="Z34" s="1"/>
    </row>
    <row r="35" ht="12.75" customHeight="1" spans="1:26">
      <c r="A35" s="29" t="s">
        <v>381</v>
      </c>
      <c r="B35" s="30" t="s">
        <v>382</v>
      </c>
      <c r="C35" s="30" t="s">
        <v>383</v>
      </c>
      <c r="D35" s="30" t="s">
        <v>384</v>
      </c>
      <c r="E35" s="30" t="s">
        <v>385</v>
      </c>
      <c r="F35" s="41" t="s">
        <v>54</v>
      </c>
      <c r="G35" s="41"/>
      <c r="H35" s="41"/>
      <c r="I35" s="41"/>
      <c r="J35" s="41"/>
      <c r="K35" s="41"/>
      <c r="L35" s="41"/>
      <c r="M35" s="41"/>
      <c r="N35" s="41"/>
      <c r="O35" s="41"/>
      <c r="P35" s="1"/>
      <c r="Q35" s="35"/>
      <c r="R35" s="1"/>
      <c r="S35" s="1"/>
      <c r="T35" s="1"/>
      <c r="U35" s="1"/>
      <c r="V35" s="1"/>
      <c r="W35" s="1"/>
      <c r="X35" s="1"/>
      <c r="Y35" s="1"/>
      <c r="Z35" s="1"/>
    </row>
    <row r="36" ht="12.75" customHeight="1" spans="1:26">
      <c r="A36" s="49" t="s">
        <v>386</v>
      </c>
      <c r="B36" s="1"/>
      <c r="C36" s="1"/>
      <c r="D36" s="1"/>
      <c r="E36" s="1"/>
      <c r="F36" s="41" t="s">
        <v>54</v>
      </c>
      <c r="G36" s="41"/>
      <c r="H36" s="41"/>
      <c r="I36" s="41"/>
      <c r="J36" s="41"/>
      <c r="K36" s="41"/>
      <c r="L36" s="41"/>
      <c r="M36" s="41"/>
      <c r="N36" s="41"/>
      <c r="O36" s="41"/>
      <c r="P36" s="1"/>
      <c r="Q36" s="35"/>
      <c r="R36" s="1"/>
      <c r="S36" s="1"/>
      <c r="T36" s="1"/>
      <c r="U36" s="1"/>
      <c r="V36" s="1"/>
      <c r="W36" s="1"/>
      <c r="X36" s="1"/>
      <c r="Y36" s="1"/>
      <c r="Z36" s="1"/>
    </row>
    <row r="37" ht="12.75" customHeight="1" spans="1:26">
      <c r="A37" s="29" t="s">
        <v>387</v>
      </c>
      <c r="B37" s="30" t="s">
        <v>388</v>
      </c>
      <c r="C37" s="30" t="s">
        <v>389</v>
      </c>
      <c r="D37" s="30" t="s">
        <v>390</v>
      </c>
      <c r="E37" s="30" t="s">
        <v>385</v>
      </c>
      <c r="F37" s="41" t="s">
        <v>54</v>
      </c>
      <c r="G37" s="41"/>
      <c r="H37" s="41"/>
      <c r="I37" s="41"/>
      <c r="J37" s="41"/>
      <c r="K37" s="41"/>
      <c r="L37" s="41"/>
      <c r="M37" s="41"/>
      <c r="N37" s="41"/>
      <c r="O37" s="41"/>
      <c r="P37" s="1"/>
      <c r="Q37" s="35"/>
      <c r="R37" s="1"/>
      <c r="S37" s="1"/>
      <c r="T37" s="1"/>
      <c r="U37" s="1"/>
      <c r="V37" s="1"/>
      <c r="W37" s="1"/>
      <c r="X37" s="1"/>
      <c r="Y37" s="1"/>
      <c r="Z37" s="1"/>
    </row>
    <row r="38" ht="12.75" customHeight="1" spans="1:26">
      <c r="A38" s="29" t="s">
        <v>391</v>
      </c>
      <c r="B38" s="29" t="s">
        <v>392</v>
      </c>
      <c r="C38" s="30" t="s">
        <v>393</v>
      </c>
      <c r="D38" s="30" t="s">
        <v>394</v>
      </c>
      <c r="E38" s="30" t="s">
        <v>395</v>
      </c>
      <c r="F38" s="41" t="s">
        <v>54</v>
      </c>
      <c r="G38" s="41"/>
      <c r="H38" s="41"/>
      <c r="I38" s="41"/>
      <c r="J38" s="41"/>
      <c r="K38" s="41"/>
      <c r="L38" s="41"/>
      <c r="M38" s="41"/>
      <c r="N38" s="41"/>
      <c r="O38" s="41"/>
      <c r="P38" s="1"/>
      <c r="Q38" s="35"/>
      <c r="R38" s="1"/>
      <c r="S38" s="1"/>
      <c r="T38" s="1"/>
      <c r="U38" s="1"/>
      <c r="V38" s="1"/>
      <c r="W38" s="1"/>
      <c r="X38" s="1"/>
      <c r="Y38" s="1"/>
      <c r="Z38" s="1"/>
    </row>
    <row r="39" ht="12.75" customHeight="1" spans="1:26">
      <c r="A39" s="29" t="s">
        <v>396</v>
      </c>
      <c r="B39" s="30" t="s">
        <v>397</v>
      </c>
      <c r="C39" s="30" t="s">
        <v>398</v>
      </c>
      <c r="D39" s="30" t="s">
        <v>399</v>
      </c>
      <c r="E39" s="30" t="s">
        <v>400</v>
      </c>
      <c r="F39" s="41" t="s">
        <v>54</v>
      </c>
      <c r="G39" s="41"/>
      <c r="H39" s="41"/>
      <c r="I39" s="41"/>
      <c r="J39" s="41"/>
      <c r="K39" s="41"/>
      <c r="L39" s="41"/>
      <c r="M39" s="41"/>
      <c r="N39" s="41"/>
      <c r="O39" s="41"/>
      <c r="P39" s="1"/>
      <c r="Q39" s="35"/>
      <c r="R39" s="1"/>
      <c r="S39" s="1"/>
      <c r="T39" s="1"/>
      <c r="U39" s="1"/>
      <c r="V39" s="1"/>
      <c r="W39" s="1"/>
      <c r="X39" s="1"/>
      <c r="Y39" s="1"/>
      <c r="Z39" s="1"/>
    </row>
    <row r="40" ht="12.75" customHeight="1" spans="1:26">
      <c r="A40" s="29" t="s">
        <v>401</v>
      </c>
      <c r="B40" s="30" t="s">
        <v>402</v>
      </c>
      <c r="C40" s="30" t="s">
        <v>403</v>
      </c>
      <c r="D40" s="30" t="s">
        <v>404</v>
      </c>
      <c r="E40" s="30" t="s">
        <v>405</v>
      </c>
      <c r="F40" s="41" t="s">
        <v>54</v>
      </c>
      <c r="G40" s="41"/>
      <c r="H40" s="41"/>
      <c r="I40" s="41"/>
      <c r="J40" s="41"/>
      <c r="K40" s="41"/>
      <c r="L40" s="41"/>
      <c r="M40" s="41"/>
      <c r="N40" s="41"/>
      <c r="O40" s="41"/>
      <c r="P40" s="1"/>
      <c r="Q40" s="35"/>
      <c r="R40" s="1"/>
      <c r="S40" s="1"/>
      <c r="T40" s="1"/>
      <c r="U40" s="1"/>
      <c r="V40" s="1"/>
      <c r="W40" s="1"/>
      <c r="X40" s="1"/>
      <c r="Y40" s="1"/>
      <c r="Z40" s="1"/>
    </row>
    <row r="41" ht="12.75" customHeight="1" spans="1:26">
      <c r="A41" s="29" t="s">
        <v>406</v>
      </c>
      <c r="B41" s="30" t="s">
        <v>407</v>
      </c>
      <c r="C41" s="30" t="s">
        <v>408</v>
      </c>
      <c r="D41" s="30" t="s">
        <v>409</v>
      </c>
      <c r="E41" s="30" t="s">
        <v>405</v>
      </c>
      <c r="F41" s="41" t="s">
        <v>54</v>
      </c>
      <c r="G41" s="41"/>
      <c r="H41" s="41"/>
      <c r="I41" s="41"/>
      <c r="J41" s="41"/>
      <c r="K41" s="41"/>
      <c r="L41" s="41"/>
      <c r="M41" s="41"/>
      <c r="N41" s="41"/>
      <c r="O41" s="41"/>
      <c r="P41" s="1"/>
      <c r="Q41" s="35"/>
      <c r="R41" s="1"/>
      <c r="S41" s="1"/>
      <c r="T41" s="1"/>
      <c r="U41" s="1"/>
      <c r="V41" s="1"/>
      <c r="W41" s="1"/>
      <c r="X41" s="1"/>
      <c r="Y41" s="1"/>
      <c r="Z41" s="1"/>
    </row>
    <row r="42" ht="12.75" customHeight="1" spans="1:26">
      <c r="A42" s="29" t="s">
        <v>410</v>
      </c>
      <c r="B42" s="30" t="s">
        <v>411</v>
      </c>
      <c r="C42" s="30" t="s">
        <v>412</v>
      </c>
      <c r="D42" s="30" t="s">
        <v>413</v>
      </c>
      <c r="E42" s="30" t="s">
        <v>405</v>
      </c>
      <c r="F42" s="41" t="s">
        <v>54</v>
      </c>
      <c r="G42" s="41"/>
      <c r="H42" s="41"/>
      <c r="I42" s="41"/>
      <c r="J42" s="41"/>
      <c r="K42" s="41"/>
      <c r="L42" s="41"/>
      <c r="M42" s="41"/>
      <c r="N42" s="41"/>
      <c r="O42" s="41"/>
      <c r="P42" s="1"/>
      <c r="Q42" s="35"/>
      <c r="R42" s="1"/>
      <c r="S42" s="1"/>
      <c r="T42" s="1"/>
      <c r="U42" s="1"/>
      <c r="V42" s="1"/>
      <c r="W42" s="1"/>
      <c r="X42" s="1"/>
      <c r="Y42" s="1"/>
      <c r="Z42" s="1"/>
    </row>
    <row r="43" ht="12.75" customHeight="1" spans="1:26">
      <c r="A43" s="33" t="s">
        <v>414</v>
      </c>
      <c r="B43" s="50"/>
      <c r="C43" s="50"/>
      <c r="D43" s="50"/>
      <c r="E43" s="50"/>
      <c r="F43" s="41" t="s">
        <v>54</v>
      </c>
      <c r="G43" s="41"/>
      <c r="H43" s="41"/>
      <c r="I43" s="41"/>
      <c r="J43" s="41"/>
      <c r="K43" s="41"/>
      <c r="L43" s="41"/>
      <c r="M43" s="41"/>
      <c r="N43" s="41"/>
      <c r="O43" s="41"/>
      <c r="P43" s="1"/>
      <c r="Q43" s="35"/>
      <c r="R43" s="1"/>
      <c r="S43" s="1"/>
      <c r="T43" s="1"/>
      <c r="U43" s="1"/>
      <c r="V43" s="1"/>
      <c r="W43" s="1"/>
      <c r="X43" s="1"/>
      <c r="Y43" s="1"/>
      <c r="Z43" s="1"/>
    </row>
    <row r="44" ht="12.75" customHeight="1" spans="1:26">
      <c r="A44" s="29" t="s">
        <v>415</v>
      </c>
      <c r="B44" s="30" t="s">
        <v>416</v>
      </c>
      <c r="C44" s="30" t="s">
        <v>417</v>
      </c>
      <c r="D44" s="30" t="s">
        <v>418</v>
      </c>
      <c r="E44" s="30" t="s">
        <v>419</v>
      </c>
      <c r="F44" s="41" t="s">
        <v>54</v>
      </c>
      <c r="G44" s="41"/>
      <c r="H44" s="41"/>
      <c r="I44" s="41"/>
      <c r="J44" s="41"/>
      <c r="K44" s="41"/>
      <c r="L44" s="41"/>
      <c r="M44" s="41"/>
      <c r="N44" s="41"/>
      <c r="O44" s="41"/>
      <c r="P44" s="1"/>
      <c r="Q44" s="35"/>
      <c r="R44" s="1"/>
      <c r="S44" s="1"/>
      <c r="T44" s="1"/>
      <c r="U44" s="1"/>
      <c r="V44" s="1"/>
      <c r="W44" s="1"/>
      <c r="X44" s="1"/>
      <c r="Y44" s="1"/>
      <c r="Z44" s="1"/>
    </row>
    <row r="45" ht="12.75" customHeight="1" spans="1:26">
      <c r="A45" s="51" t="s">
        <v>420</v>
      </c>
      <c r="B45" s="31" t="s">
        <v>421</v>
      </c>
      <c r="C45" s="30" t="s">
        <v>422</v>
      </c>
      <c r="D45" s="30" t="s">
        <v>423</v>
      </c>
      <c r="E45" s="30" t="s">
        <v>424</v>
      </c>
      <c r="F45" s="41" t="s">
        <v>54</v>
      </c>
      <c r="G45" s="41"/>
      <c r="H45" s="41"/>
      <c r="I45" s="41"/>
      <c r="J45" s="41"/>
      <c r="K45" s="41"/>
      <c r="L45" s="41"/>
      <c r="M45" s="41"/>
      <c r="N45" s="41"/>
      <c r="O45" s="41"/>
      <c r="P45" s="1"/>
      <c r="Q45" s="35"/>
      <c r="R45" s="1"/>
      <c r="S45" s="1"/>
      <c r="T45" s="1"/>
      <c r="U45" s="1"/>
      <c r="V45" s="1"/>
      <c r="W45" s="1"/>
      <c r="X45" s="1"/>
      <c r="Y45" s="1"/>
      <c r="Z45" s="1"/>
    </row>
    <row r="46" ht="12.75" customHeight="1" spans="1:26">
      <c r="A46" s="29" t="s">
        <v>425</v>
      </c>
      <c r="B46" s="30" t="s">
        <v>426</v>
      </c>
      <c r="C46" s="30" t="s">
        <v>427</v>
      </c>
      <c r="D46" s="30" t="s">
        <v>428</v>
      </c>
      <c r="E46" s="30" t="s">
        <v>429</v>
      </c>
      <c r="F46" s="41" t="s">
        <v>54</v>
      </c>
      <c r="G46" s="41"/>
      <c r="H46" s="41"/>
      <c r="I46" s="41"/>
      <c r="J46" s="41"/>
      <c r="K46" s="41"/>
      <c r="L46" s="41"/>
      <c r="M46" s="41"/>
      <c r="N46" s="41"/>
      <c r="O46" s="41"/>
      <c r="P46" s="1"/>
      <c r="Q46" s="35"/>
      <c r="R46" s="1"/>
      <c r="S46" s="1"/>
      <c r="T46" s="1"/>
      <c r="U46" s="1"/>
      <c r="V46" s="1"/>
      <c r="W46" s="1"/>
      <c r="X46" s="1"/>
      <c r="Y46" s="1"/>
      <c r="Z46" s="1"/>
    </row>
    <row r="47" ht="12.75" customHeight="1" spans="1:26">
      <c r="A47" s="29" t="s">
        <v>430</v>
      </c>
      <c r="B47" s="29" t="s">
        <v>431</v>
      </c>
      <c r="C47" s="30" t="s">
        <v>432</v>
      </c>
      <c r="D47" s="30" t="s">
        <v>433</v>
      </c>
      <c r="E47" s="30" t="s">
        <v>434</v>
      </c>
      <c r="F47" s="41" t="s">
        <v>54</v>
      </c>
      <c r="G47" s="41"/>
      <c r="H47" s="41"/>
      <c r="I47" s="41"/>
      <c r="J47" s="41"/>
      <c r="K47" s="41"/>
      <c r="L47" s="41"/>
      <c r="M47" s="41"/>
      <c r="N47" s="41"/>
      <c r="O47" s="41"/>
      <c r="P47" s="1"/>
      <c r="Q47" s="35"/>
      <c r="R47" s="1"/>
      <c r="S47" s="1"/>
      <c r="T47" s="1"/>
      <c r="U47" s="1"/>
      <c r="V47" s="1"/>
      <c r="W47" s="1"/>
      <c r="X47" s="1"/>
      <c r="Y47" s="1"/>
      <c r="Z47" s="1"/>
    </row>
    <row r="48" ht="12.75" customHeight="1" spans="1:26">
      <c r="A48" s="29" t="s">
        <v>435</v>
      </c>
      <c r="B48" s="29" t="s">
        <v>436</v>
      </c>
      <c r="C48" s="30" t="s">
        <v>437</v>
      </c>
      <c r="D48" s="30" t="s">
        <v>438</v>
      </c>
      <c r="E48" s="30" t="s">
        <v>439</v>
      </c>
      <c r="F48" s="41" t="s">
        <v>54</v>
      </c>
      <c r="G48" s="41"/>
      <c r="H48" s="41"/>
      <c r="I48" s="41"/>
      <c r="J48" s="41"/>
      <c r="K48" s="41"/>
      <c r="L48" s="41"/>
      <c r="M48" s="41"/>
      <c r="N48" s="41"/>
      <c r="O48" s="41"/>
      <c r="P48" s="1"/>
      <c r="Q48" s="35"/>
      <c r="R48" s="1"/>
      <c r="S48" s="1"/>
      <c r="T48" s="1"/>
      <c r="U48" s="1"/>
      <c r="V48" s="1"/>
      <c r="W48" s="1"/>
      <c r="X48" s="1"/>
      <c r="Y48" s="1"/>
      <c r="Z48" s="1"/>
    </row>
    <row r="49" ht="12.75" customHeight="1" spans="1:26">
      <c r="A49" s="33" t="s">
        <v>440</v>
      </c>
      <c r="B49" s="50"/>
      <c r="C49" s="50"/>
      <c r="D49" s="50"/>
      <c r="E49" s="50"/>
      <c r="F49" s="41" t="s">
        <v>54</v>
      </c>
      <c r="G49" s="41"/>
      <c r="H49" s="41"/>
      <c r="I49" s="41"/>
      <c r="J49" s="41"/>
      <c r="K49" s="41"/>
      <c r="L49" s="41"/>
      <c r="M49" s="41"/>
      <c r="N49" s="41"/>
      <c r="O49" s="41"/>
      <c r="P49" s="1"/>
      <c r="Q49" s="35"/>
      <c r="R49" s="1"/>
      <c r="S49" s="1"/>
      <c r="T49" s="1"/>
      <c r="U49" s="1"/>
      <c r="V49" s="1"/>
      <c r="W49" s="1"/>
      <c r="X49" s="1"/>
      <c r="Y49" s="1"/>
      <c r="Z49" s="1"/>
    </row>
    <row r="50" ht="12.75" customHeight="1" spans="1:26">
      <c r="A50" s="29" t="s">
        <v>441</v>
      </c>
      <c r="B50" s="30" t="s">
        <v>442</v>
      </c>
      <c r="C50" s="30" t="s">
        <v>443</v>
      </c>
      <c r="D50" s="30" t="s">
        <v>444</v>
      </c>
      <c r="E50" s="30" t="s">
        <v>424</v>
      </c>
      <c r="F50" s="41" t="s">
        <v>54</v>
      </c>
      <c r="G50" s="41"/>
      <c r="H50" s="41"/>
      <c r="I50" s="41"/>
      <c r="J50" s="41"/>
      <c r="K50" s="41"/>
      <c r="L50" s="41"/>
      <c r="M50" s="41"/>
      <c r="N50" s="41"/>
      <c r="O50" s="41"/>
      <c r="P50" s="1"/>
      <c r="Q50" s="35"/>
      <c r="R50" s="1"/>
      <c r="S50" s="1"/>
      <c r="T50" s="1"/>
      <c r="U50" s="1"/>
      <c r="V50" s="1"/>
      <c r="W50" s="1"/>
      <c r="X50" s="1"/>
      <c r="Y50" s="1"/>
      <c r="Z50" s="1"/>
    </row>
    <row r="51" ht="12.75" customHeight="1" spans="1:26">
      <c r="A51" s="29" t="s">
        <v>445</v>
      </c>
      <c r="B51" s="30" t="s">
        <v>446</v>
      </c>
      <c r="C51" s="30" t="s">
        <v>447</v>
      </c>
      <c r="D51" s="30" t="s">
        <v>448</v>
      </c>
      <c r="E51" s="30" t="s">
        <v>424</v>
      </c>
      <c r="F51" s="41" t="s">
        <v>54</v>
      </c>
      <c r="G51" s="41"/>
      <c r="H51" s="41"/>
      <c r="I51" s="41"/>
      <c r="J51" s="41"/>
      <c r="K51" s="41"/>
      <c r="L51" s="41"/>
      <c r="M51" s="41"/>
      <c r="N51" s="41"/>
      <c r="O51" s="41"/>
      <c r="P51" s="1"/>
      <c r="Q51" s="35"/>
      <c r="R51" s="1"/>
      <c r="S51" s="1"/>
      <c r="T51" s="1"/>
      <c r="U51" s="1"/>
      <c r="V51" s="1"/>
      <c r="W51" s="1"/>
      <c r="X51" s="1"/>
      <c r="Y51" s="1"/>
      <c r="Z51" s="1"/>
    </row>
    <row r="52" ht="12.75" customHeight="1" spans="1:26">
      <c r="A52" s="29" t="s">
        <v>449</v>
      </c>
      <c r="B52" s="29" t="s">
        <v>450</v>
      </c>
      <c r="C52" s="30" t="s">
        <v>451</v>
      </c>
      <c r="D52" s="30" t="s">
        <v>452</v>
      </c>
      <c r="E52" s="30" t="s">
        <v>453</v>
      </c>
      <c r="F52" s="41" t="s">
        <v>54</v>
      </c>
      <c r="G52" s="41"/>
      <c r="H52" s="41"/>
      <c r="I52" s="41"/>
      <c r="J52" s="41"/>
      <c r="K52" s="41"/>
      <c r="L52" s="41"/>
      <c r="M52" s="41"/>
      <c r="N52" s="41"/>
      <c r="O52" s="41"/>
      <c r="P52" s="52"/>
      <c r="Q52" s="52"/>
      <c r="R52" s="52"/>
      <c r="S52" s="52"/>
      <c r="T52" s="52"/>
      <c r="U52" s="52"/>
      <c r="V52" s="52"/>
      <c r="W52" s="52"/>
      <c r="X52" s="52"/>
      <c r="Y52" s="52"/>
      <c r="Z52" s="52"/>
    </row>
    <row r="53" ht="12.75" customHeight="1" spans="1:26">
      <c r="A53" s="29" t="s">
        <v>454</v>
      </c>
      <c r="B53" s="30" t="s">
        <v>455</v>
      </c>
      <c r="C53" s="30" t="s">
        <v>456</v>
      </c>
      <c r="D53" s="30" t="s">
        <v>457</v>
      </c>
      <c r="E53" s="30" t="s">
        <v>458</v>
      </c>
      <c r="F53" s="41" t="s">
        <v>54</v>
      </c>
      <c r="G53" s="41"/>
      <c r="H53" s="41"/>
      <c r="I53" s="41"/>
      <c r="J53" s="41"/>
      <c r="K53" s="41"/>
      <c r="L53" s="41"/>
      <c r="M53" s="41"/>
      <c r="N53" s="41"/>
      <c r="O53" s="41"/>
      <c r="P53" s="1"/>
      <c r="Q53" s="35"/>
      <c r="R53" s="1"/>
      <c r="S53" s="1"/>
      <c r="T53" s="1"/>
      <c r="U53" s="1"/>
      <c r="V53" s="1"/>
      <c r="W53" s="1"/>
      <c r="X53" s="1"/>
      <c r="Y53" s="1"/>
      <c r="Z53" s="1"/>
    </row>
    <row r="54" ht="12.75" customHeight="1" spans="1:26">
      <c r="A54" s="33" t="s">
        <v>459</v>
      </c>
      <c r="B54" s="50"/>
      <c r="C54" s="50"/>
      <c r="D54" s="50"/>
      <c r="E54" s="50"/>
      <c r="F54" s="41" t="s">
        <v>54</v>
      </c>
      <c r="G54" s="41"/>
      <c r="H54" s="41"/>
      <c r="I54" s="41"/>
      <c r="J54" s="41"/>
      <c r="K54" s="41"/>
      <c r="L54" s="41"/>
      <c r="M54" s="41"/>
      <c r="N54" s="41"/>
      <c r="O54" s="41"/>
      <c r="P54" s="1"/>
      <c r="Q54" s="35"/>
      <c r="R54" s="1"/>
      <c r="S54" s="1"/>
      <c r="T54" s="1"/>
      <c r="U54" s="1"/>
      <c r="V54" s="1"/>
      <c r="W54" s="1"/>
      <c r="X54" s="1"/>
      <c r="Y54" s="1"/>
      <c r="Z54" s="1"/>
    </row>
    <row r="55" ht="12.75" customHeight="1" spans="1:26">
      <c r="A55" s="29" t="s">
        <v>460</v>
      </c>
      <c r="B55" s="30" t="s">
        <v>461</v>
      </c>
      <c r="C55" s="30" t="s">
        <v>462</v>
      </c>
      <c r="D55" s="30" t="s">
        <v>463</v>
      </c>
      <c r="E55" s="30" t="s">
        <v>464</v>
      </c>
      <c r="F55" s="41" t="s">
        <v>54</v>
      </c>
      <c r="G55" s="41"/>
      <c r="H55" s="41"/>
      <c r="I55" s="41"/>
      <c r="J55" s="41"/>
      <c r="K55" s="41"/>
      <c r="L55" s="41"/>
      <c r="M55" s="41"/>
      <c r="N55" s="41"/>
      <c r="O55" s="41"/>
      <c r="P55" s="1"/>
      <c r="Q55" s="35"/>
      <c r="R55" s="1"/>
      <c r="S55" s="1"/>
      <c r="T55" s="1"/>
      <c r="U55" s="1"/>
      <c r="V55" s="1"/>
      <c r="W55" s="1"/>
      <c r="X55" s="1"/>
      <c r="Y55" s="1"/>
      <c r="Z55" s="1"/>
    </row>
    <row r="56" ht="12.75" customHeight="1" spans="1:26">
      <c r="A56" s="29" t="s">
        <v>460</v>
      </c>
      <c r="B56" s="30" t="s">
        <v>465</v>
      </c>
      <c r="C56" s="30" t="s">
        <v>466</v>
      </c>
      <c r="D56" s="30" t="s">
        <v>467</v>
      </c>
      <c r="E56" s="30" t="s">
        <v>468</v>
      </c>
      <c r="F56" s="41" t="s">
        <v>54</v>
      </c>
      <c r="G56" s="41"/>
      <c r="H56" s="41"/>
      <c r="I56" s="41"/>
      <c r="J56" s="41"/>
      <c r="K56" s="41"/>
      <c r="L56" s="41"/>
      <c r="M56" s="41"/>
      <c r="N56" s="41"/>
      <c r="O56" s="41"/>
      <c r="P56" s="1"/>
      <c r="Q56" s="35"/>
      <c r="R56" s="1"/>
      <c r="S56" s="1"/>
      <c r="T56" s="1"/>
      <c r="U56" s="1"/>
      <c r="V56" s="1"/>
      <c r="W56" s="1"/>
      <c r="X56" s="1"/>
      <c r="Y56" s="1"/>
      <c r="Z56" s="1"/>
    </row>
    <row r="57" ht="12.75" customHeight="1" spans="1:26">
      <c r="A57" s="29" t="s">
        <v>460</v>
      </c>
      <c r="B57" s="30" t="s">
        <v>469</v>
      </c>
      <c r="C57" s="29" t="s">
        <v>470</v>
      </c>
      <c r="D57" s="30" t="s">
        <v>471</v>
      </c>
      <c r="E57" s="30" t="s">
        <v>472</v>
      </c>
      <c r="F57" s="41" t="s">
        <v>54</v>
      </c>
      <c r="G57" s="41"/>
      <c r="H57" s="41"/>
      <c r="I57" s="41"/>
      <c r="J57" s="41"/>
      <c r="K57" s="41"/>
      <c r="L57" s="41"/>
      <c r="M57" s="41"/>
      <c r="N57" s="41"/>
      <c r="O57" s="41"/>
      <c r="P57" s="1"/>
      <c r="Q57" s="35"/>
      <c r="R57" s="1"/>
      <c r="S57" s="1"/>
      <c r="T57" s="1"/>
      <c r="U57" s="1"/>
      <c r="V57" s="1"/>
      <c r="W57" s="1"/>
      <c r="X57" s="1"/>
      <c r="Y57" s="1"/>
      <c r="Z57" s="1"/>
    </row>
    <row r="58" ht="12.75" customHeight="1" spans="1:26">
      <c r="A58" s="29" t="s">
        <v>473</v>
      </c>
      <c r="B58" s="30" t="s">
        <v>474</v>
      </c>
      <c r="C58" s="30" t="s">
        <v>475</v>
      </c>
      <c r="D58" s="30" t="s">
        <v>476</v>
      </c>
      <c r="E58" s="30" t="s">
        <v>477</v>
      </c>
      <c r="F58" s="41" t="s">
        <v>54</v>
      </c>
      <c r="G58" s="41"/>
      <c r="H58" s="41"/>
      <c r="I58" s="41"/>
      <c r="J58" s="41"/>
      <c r="K58" s="41"/>
      <c r="L58" s="41"/>
      <c r="M58" s="41"/>
      <c r="N58" s="41"/>
      <c r="O58" s="41"/>
      <c r="P58" s="1"/>
      <c r="Q58" s="35"/>
      <c r="R58" s="1"/>
      <c r="S58" s="1"/>
      <c r="T58" s="1"/>
      <c r="U58" s="1"/>
      <c r="V58" s="1"/>
      <c r="W58" s="1"/>
      <c r="X58" s="1"/>
      <c r="Y58" s="1"/>
      <c r="Z58" s="1"/>
    </row>
    <row r="59" ht="12.75" customHeight="1" spans="1:26">
      <c r="A59" s="29" t="s">
        <v>473</v>
      </c>
      <c r="B59" s="30" t="s">
        <v>478</v>
      </c>
      <c r="C59" s="30" t="s">
        <v>479</v>
      </c>
      <c r="D59" s="30" t="s">
        <v>480</v>
      </c>
      <c r="E59" s="30" t="s">
        <v>481</v>
      </c>
      <c r="F59" s="41" t="s">
        <v>54</v>
      </c>
      <c r="G59" s="41"/>
      <c r="H59" s="41"/>
      <c r="I59" s="41"/>
      <c r="J59" s="41"/>
      <c r="K59" s="41"/>
      <c r="L59" s="41"/>
      <c r="M59" s="41"/>
      <c r="N59" s="41"/>
      <c r="O59" s="41"/>
      <c r="P59" s="1"/>
      <c r="Q59" s="35"/>
      <c r="R59" s="1"/>
      <c r="S59" s="1"/>
      <c r="T59" s="1"/>
      <c r="U59" s="1"/>
      <c r="V59" s="1"/>
      <c r="W59" s="1"/>
      <c r="X59" s="1"/>
      <c r="Y59" s="1"/>
      <c r="Z59" s="1"/>
    </row>
    <row r="60" ht="12.75" customHeight="1" spans="1:26">
      <c r="A60" s="29" t="s">
        <v>473</v>
      </c>
      <c r="B60" s="30" t="s">
        <v>482</v>
      </c>
      <c r="C60" s="30" t="s">
        <v>483</v>
      </c>
      <c r="D60" s="30" t="s">
        <v>484</v>
      </c>
      <c r="E60" s="30" t="s">
        <v>485</v>
      </c>
      <c r="F60" s="41" t="s">
        <v>54</v>
      </c>
      <c r="G60" s="41"/>
      <c r="H60" s="41"/>
      <c r="I60" s="41"/>
      <c r="J60" s="41"/>
      <c r="K60" s="41"/>
      <c r="L60" s="41"/>
      <c r="M60" s="41"/>
      <c r="N60" s="41"/>
      <c r="O60" s="41"/>
      <c r="P60" s="1"/>
      <c r="Q60" s="35"/>
      <c r="R60" s="1"/>
      <c r="S60" s="1"/>
      <c r="T60" s="1"/>
      <c r="U60" s="1"/>
      <c r="V60" s="1"/>
      <c r="W60" s="1"/>
      <c r="X60" s="1"/>
      <c r="Y60" s="1"/>
      <c r="Z60" s="1"/>
    </row>
    <row r="61" ht="12.75" customHeight="1" spans="1:26">
      <c r="A61" s="29" t="s">
        <v>473</v>
      </c>
      <c r="B61" s="30" t="s">
        <v>486</v>
      </c>
      <c r="C61" s="30" t="s">
        <v>487</v>
      </c>
      <c r="D61" s="30" t="s">
        <v>488</v>
      </c>
      <c r="E61" s="30" t="s">
        <v>489</v>
      </c>
      <c r="F61" s="41" t="s">
        <v>54</v>
      </c>
      <c r="G61" s="41"/>
      <c r="H61" s="41"/>
      <c r="I61" s="41"/>
      <c r="J61" s="41"/>
      <c r="K61" s="41"/>
      <c r="L61" s="41"/>
      <c r="M61" s="41"/>
      <c r="N61" s="41"/>
      <c r="O61" s="41"/>
      <c r="P61" s="1"/>
      <c r="Q61" s="35"/>
      <c r="R61" s="1"/>
      <c r="S61" s="1"/>
      <c r="T61" s="1"/>
      <c r="U61" s="1"/>
      <c r="V61" s="1"/>
      <c r="W61" s="1"/>
      <c r="X61" s="1"/>
      <c r="Y61" s="1"/>
      <c r="Z61" s="1"/>
    </row>
    <row r="62" ht="12.75" customHeight="1" spans="1:26">
      <c r="A62" s="29" t="s">
        <v>473</v>
      </c>
      <c r="B62" s="30" t="s">
        <v>490</v>
      </c>
      <c r="C62" s="29" t="s">
        <v>491</v>
      </c>
      <c r="D62" s="30" t="s">
        <v>492</v>
      </c>
      <c r="E62" s="30" t="s">
        <v>493</v>
      </c>
      <c r="F62" s="41" t="s">
        <v>54</v>
      </c>
      <c r="G62" s="41"/>
      <c r="H62" s="41"/>
      <c r="I62" s="41"/>
      <c r="J62" s="41"/>
      <c r="K62" s="41"/>
      <c r="L62" s="41"/>
      <c r="M62" s="41"/>
      <c r="N62" s="41"/>
      <c r="O62" s="41"/>
      <c r="P62" s="1"/>
      <c r="Q62" s="35"/>
      <c r="R62" s="1"/>
      <c r="S62" s="1"/>
      <c r="T62" s="1"/>
      <c r="U62" s="1"/>
      <c r="V62" s="1"/>
      <c r="W62" s="1"/>
      <c r="X62" s="1"/>
      <c r="Y62" s="1"/>
      <c r="Z62" s="1"/>
    </row>
    <row r="63" ht="12.75" customHeight="1" spans="1:26">
      <c r="A63" s="29" t="s">
        <v>494</v>
      </c>
      <c r="B63" s="30" t="s">
        <v>495</v>
      </c>
      <c r="C63" s="30" t="s">
        <v>496</v>
      </c>
      <c r="D63" s="30" t="s">
        <v>497</v>
      </c>
      <c r="E63" s="30" t="s">
        <v>498</v>
      </c>
      <c r="F63" s="41" t="s">
        <v>54</v>
      </c>
      <c r="G63" s="41"/>
      <c r="H63" s="41"/>
      <c r="I63" s="41"/>
      <c r="J63" s="41"/>
      <c r="K63" s="41"/>
      <c r="L63" s="41"/>
      <c r="M63" s="41"/>
      <c r="N63" s="41"/>
      <c r="O63" s="41"/>
      <c r="P63" s="1"/>
      <c r="Q63" s="35"/>
      <c r="R63" s="1"/>
      <c r="S63" s="1"/>
      <c r="T63" s="1"/>
      <c r="U63" s="1"/>
      <c r="V63" s="1"/>
      <c r="W63" s="1"/>
      <c r="X63" s="1"/>
      <c r="Y63" s="1"/>
      <c r="Z63" s="1"/>
    </row>
    <row r="64" ht="12.75" customHeight="1" spans="1:26">
      <c r="A64" s="29" t="s">
        <v>494</v>
      </c>
      <c r="B64" s="30" t="s">
        <v>499</v>
      </c>
      <c r="C64" s="30" t="s">
        <v>500</v>
      </c>
      <c r="D64" s="30" t="s">
        <v>501</v>
      </c>
      <c r="E64" s="30" t="s">
        <v>502</v>
      </c>
      <c r="F64" s="41" t="s">
        <v>54</v>
      </c>
      <c r="G64" s="41"/>
      <c r="H64" s="41"/>
      <c r="I64" s="41"/>
      <c r="J64" s="41"/>
      <c r="K64" s="41"/>
      <c r="L64" s="41"/>
      <c r="M64" s="41"/>
      <c r="N64" s="41"/>
      <c r="O64" s="41"/>
      <c r="P64" s="1"/>
      <c r="Q64" s="35"/>
      <c r="R64" s="1"/>
      <c r="S64" s="1"/>
      <c r="T64" s="1"/>
      <c r="U64" s="1"/>
      <c r="V64" s="1"/>
      <c r="W64" s="1"/>
      <c r="X64" s="1"/>
      <c r="Y64" s="1"/>
      <c r="Z64" s="1"/>
    </row>
    <row r="65" ht="12.75" customHeight="1" spans="1:26">
      <c r="A65" s="29" t="s">
        <v>494</v>
      </c>
      <c r="B65" s="30" t="s">
        <v>503</v>
      </c>
      <c r="C65" s="30" t="s">
        <v>504</v>
      </c>
      <c r="D65" s="30" t="s">
        <v>505</v>
      </c>
      <c r="E65" s="30" t="s">
        <v>506</v>
      </c>
      <c r="F65" s="41" t="s">
        <v>54</v>
      </c>
      <c r="G65" s="41"/>
      <c r="H65" s="41"/>
      <c r="I65" s="41"/>
      <c r="J65" s="41"/>
      <c r="K65" s="41"/>
      <c r="L65" s="41"/>
      <c r="M65" s="41"/>
      <c r="N65" s="41"/>
      <c r="O65" s="41"/>
      <c r="P65" s="1"/>
      <c r="Q65" s="35"/>
      <c r="R65" s="1"/>
      <c r="S65" s="1"/>
      <c r="T65" s="1"/>
      <c r="U65" s="1"/>
      <c r="V65" s="1"/>
      <c r="W65" s="1"/>
      <c r="X65" s="1"/>
      <c r="Y65" s="1"/>
      <c r="Z65" s="1"/>
    </row>
    <row r="66" ht="12.75" customHeight="1" spans="1:26">
      <c r="A66" s="29" t="s">
        <v>494</v>
      </c>
      <c r="B66" s="30" t="s">
        <v>507</v>
      </c>
      <c r="C66" s="30" t="s">
        <v>508</v>
      </c>
      <c r="D66" s="30" t="s">
        <v>509</v>
      </c>
      <c r="E66" s="30" t="s">
        <v>510</v>
      </c>
      <c r="F66" s="41" t="s">
        <v>54</v>
      </c>
      <c r="G66" s="41"/>
      <c r="H66" s="41"/>
      <c r="I66" s="41"/>
      <c r="J66" s="41"/>
      <c r="K66" s="41"/>
      <c r="L66" s="41"/>
      <c r="M66" s="41"/>
      <c r="N66" s="41"/>
      <c r="O66" s="41"/>
      <c r="P66" s="1"/>
      <c r="Q66" s="35"/>
      <c r="R66" s="1"/>
      <c r="S66" s="1"/>
      <c r="T66" s="1"/>
      <c r="U66" s="1"/>
      <c r="V66" s="1"/>
      <c r="W66" s="1"/>
      <c r="X66" s="1"/>
      <c r="Y66" s="1"/>
      <c r="Z66" s="1"/>
    </row>
    <row r="67" ht="12.75" customHeight="1" spans="1:26">
      <c r="A67" s="40" t="s">
        <v>511</v>
      </c>
      <c r="B67" s="1"/>
      <c r="C67" s="1"/>
      <c r="D67" s="1"/>
      <c r="E67" s="1"/>
      <c r="F67" s="41" t="s">
        <v>54</v>
      </c>
      <c r="G67" s="41"/>
      <c r="H67" s="41"/>
      <c r="I67" s="41"/>
      <c r="J67" s="41"/>
      <c r="K67" s="41"/>
      <c r="L67" s="41"/>
      <c r="M67" s="41"/>
      <c r="N67" s="41"/>
      <c r="O67" s="41"/>
      <c r="P67" s="1"/>
      <c r="Q67" s="35"/>
      <c r="R67" s="1"/>
      <c r="S67" s="1"/>
      <c r="T67" s="1"/>
      <c r="U67" s="1"/>
      <c r="V67" s="1"/>
      <c r="W67" s="1"/>
      <c r="X67" s="1"/>
      <c r="Y67" s="1"/>
      <c r="Z67" s="1"/>
    </row>
    <row r="68" ht="12.75" customHeight="1" spans="1:26">
      <c r="A68" s="29" t="s">
        <v>512</v>
      </c>
      <c r="B68" s="30" t="s">
        <v>513</v>
      </c>
      <c r="C68" s="30" t="s">
        <v>514</v>
      </c>
      <c r="D68" s="30" t="s">
        <v>515</v>
      </c>
      <c r="E68" s="30" t="s">
        <v>516</v>
      </c>
      <c r="F68" s="41" t="s">
        <v>54</v>
      </c>
      <c r="G68" s="41"/>
      <c r="H68" s="41"/>
      <c r="I68" s="41"/>
      <c r="J68" s="41"/>
      <c r="K68" s="41"/>
      <c r="L68" s="41"/>
      <c r="M68" s="41"/>
      <c r="N68" s="41"/>
      <c r="O68" s="41"/>
      <c r="P68" s="1"/>
      <c r="Q68" s="35"/>
      <c r="R68" s="1"/>
      <c r="S68" s="1"/>
      <c r="T68" s="1"/>
      <c r="U68" s="1"/>
      <c r="V68" s="1"/>
      <c r="W68" s="1"/>
      <c r="X68" s="1"/>
      <c r="Y68" s="1"/>
      <c r="Z68" s="1"/>
    </row>
    <row r="69" ht="12.75" customHeight="1" spans="1:26">
      <c r="A69" s="29" t="s">
        <v>517</v>
      </c>
      <c r="B69" s="30" t="s">
        <v>518</v>
      </c>
      <c r="C69" s="30" t="s">
        <v>519</v>
      </c>
      <c r="D69" s="30" t="s">
        <v>520</v>
      </c>
      <c r="E69" s="30" t="s">
        <v>521</v>
      </c>
      <c r="F69" s="41" t="s">
        <v>54</v>
      </c>
      <c r="G69" s="41"/>
      <c r="H69" s="41"/>
      <c r="I69" s="41"/>
      <c r="J69" s="41"/>
      <c r="K69" s="41"/>
      <c r="L69" s="41"/>
      <c r="M69" s="41"/>
      <c r="N69" s="41"/>
      <c r="O69" s="41"/>
      <c r="P69" s="1"/>
      <c r="Q69" s="35"/>
      <c r="R69" s="1"/>
      <c r="S69" s="1"/>
      <c r="T69" s="1"/>
      <c r="U69" s="1"/>
      <c r="V69" s="1"/>
      <c r="W69" s="1"/>
      <c r="X69" s="1"/>
      <c r="Y69" s="1"/>
      <c r="Z69" s="1"/>
    </row>
    <row r="70" ht="12.75" customHeight="1" spans="1:26">
      <c r="A70" s="29" t="s">
        <v>522</v>
      </c>
      <c r="B70" s="30" t="s">
        <v>523</v>
      </c>
      <c r="C70" s="30" t="s">
        <v>524</v>
      </c>
      <c r="D70" s="30" t="s">
        <v>525</v>
      </c>
      <c r="E70" s="30" t="s">
        <v>526</v>
      </c>
      <c r="F70" s="41" t="s">
        <v>54</v>
      </c>
      <c r="G70" s="41"/>
      <c r="H70" s="41"/>
      <c r="I70" s="41"/>
      <c r="J70" s="41"/>
      <c r="K70" s="41"/>
      <c r="L70" s="41"/>
      <c r="M70" s="41"/>
      <c r="N70" s="41"/>
      <c r="O70" s="41"/>
      <c r="P70" s="1"/>
      <c r="Q70" s="35"/>
      <c r="R70" s="1"/>
      <c r="S70" s="1"/>
      <c r="T70" s="1"/>
      <c r="U70" s="1"/>
      <c r="V70" s="1"/>
      <c r="W70" s="1"/>
      <c r="X70" s="1"/>
      <c r="Y70" s="1"/>
      <c r="Z70" s="1"/>
    </row>
    <row r="71" ht="12.75" customHeight="1" spans="1:26">
      <c r="A71" s="29" t="s">
        <v>527</v>
      </c>
      <c r="B71" s="30" t="s">
        <v>528</v>
      </c>
      <c r="C71" s="30" t="s">
        <v>529</v>
      </c>
      <c r="D71" s="30" t="s">
        <v>530</v>
      </c>
      <c r="E71" s="30" t="s">
        <v>385</v>
      </c>
      <c r="F71" s="41" t="s">
        <v>54</v>
      </c>
      <c r="G71" s="41"/>
      <c r="H71" s="41"/>
      <c r="I71" s="41"/>
      <c r="J71" s="41"/>
      <c r="K71" s="41"/>
      <c r="L71" s="41"/>
      <c r="M71" s="41"/>
      <c r="N71" s="41"/>
      <c r="O71" s="41"/>
      <c r="P71" s="1"/>
      <c r="Q71" s="35"/>
      <c r="R71" s="1"/>
      <c r="S71" s="1"/>
      <c r="T71" s="1"/>
      <c r="U71" s="1"/>
      <c r="V71" s="1"/>
      <c r="W71" s="1"/>
      <c r="X71" s="1"/>
      <c r="Y71" s="1"/>
      <c r="Z71" s="1"/>
    </row>
    <row r="72" ht="12.75" customHeight="1" spans="1:26">
      <c r="A72" s="29" t="s">
        <v>531</v>
      </c>
      <c r="B72" s="30" t="s">
        <v>532</v>
      </c>
      <c r="C72" s="30" t="s">
        <v>533</v>
      </c>
      <c r="D72" s="30" t="s">
        <v>534</v>
      </c>
      <c r="E72" s="30" t="s">
        <v>535</v>
      </c>
      <c r="F72" s="41" t="s">
        <v>54</v>
      </c>
      <c r="G72" s="41"/>
      <c r="H72" s="41"/>
      <c r="I72" s="41"/>
      <c r="J72" s="41"/>
      <c r="K72" s="41"/>
      <c r="L72" s="41"/>
      <c r="M72" s="41"/>
      <c r="N72" s="41"/>
      <c r="O72" s="41"/>
      <c r="P72" s="1"/>
      <c r="Q72" s="35"/>
      <c r="R72" s="1"/>
      <c r="S72" s="1"/>
      <c r="T72" s="1"/>
      <c r="U72" s="1"/>
      <c r="V72" s="1"/>
      <c r="W72" s="1"/>
      <c r="X72" s="1"/>
      <c r="Y72" s="1"/>
      <c r="Z72" s="1"/>
    </row>
    <row r="73" ht="12.75" customHeight="1" spans="1:26">
      <c r="A73" s="40" t="s">
        <v>536</v>
      </c>
      <c r="B73" s="1"/>
      <c r="C73" s="1"/>
      <c r="D73" s="1"/>
      <c r="E73" s="1"/>
      <c r="F73" s="41" t="s">
        <v>54</v>
      </c>
      <c r="G73" s="41"/>
      <c r="H73" s="41"/>
      <c r="I73" s="41"/>
      <c r="J73" s="41"/>
      <c r="K73" s="41"/>
      <c r="L73" s="41"/>
      <c r="M73" s="41"/>
      <c r="N73" s="41"/>
      <c r="O73" s="41"/>
      <c r="P73" s="1"/>
      <c r="Q73" s="35"/>
      <c r="R73" s="1"/>
      <c r="S73" s="1"/>
      <c r="T73" s="1"/>
      <c r="U73" s="1"/>
      <c r="V73" s="1"/>
      <c r="W73" s="1"/>
      <c r="X73" s="1"/>
      <c r="Y73" s="1"/>
      <c r="Z73" s="1"/>
    </row>
    <row r="74" ht="12.75" customHeight="1" spans="1:26">
      <c r="A74" s="29" t="s">
        <v>537</v>
      </c>
      <c r="B74" s="30" t="s">
        <v>538</v>
      </c>
      <c r="C74" s="30" t="s">
        <v>539</v>
      </c>
      <c r="D74" s="30" t="s">
        <v>540</v>
      </c>
      <c r="E74" s="30" t="s">
        <v>424</v>
      </c>
      <c r="F74" s="41" t="s">
        <v>54</v>
      </c>
      <c r="G74" s="41"/>
      <c r="H74" s="41"/>
      <c r="I74" s="41"/>
      <c r="J74" s="41"/>
      <c r="K74" s="41"/>
      <c r="L74" s="41"/>
      <c r="M74" s="41"/>
      <c r="N74" s="41"/>
      <c r="O74" s="41"/>
      <c r="P74" s="1"/>
      <c r="Q74" s="35"/>
      <c r="R74" s="1"/>
      <c r="S74" s="1"/>
      <c r="T74" s="1"/>
      <c r="U74" s="1"/>
      <c r="V74" s="1"/>
      <c r="W74" s="1"/>
      <c r="X74" s="1"/>
      <c r="Y74" s="1"/>
      <c r="Z74" s="1"/>
    </row>
    <row r="75" ht="12.75" customHeight="1" spans="1:26">
      <c r="A75" s="29" t="s">
        <v>541</v>
      </c>
      <c r="B75" s="30" t="s">
        <v>542</v>
      </c>
      <c r="C75" s="30" t="s">
        <v>543</v>
      </c>
      <c r="D75" s="30" t="s">
        <v>544</v>
      </c>
      <c r="E75" s="30" t="s">
        <v>545</v>
      </c>
      <c r="F75" s="41" t="s">
        <v>54</v>
      </c>
      <c r="G75" s="41"/>
      <c r="H75" s="41"/>
      <c r="I75" s="41"/>
      <c r="J75" s="41"/>
      <c r="K75" s="41"/>
      <c r="L75" s="41"/>
      <c r="M75" s="41"/>
      <c r="N75" s="41"/>
      <c r="O75" s="41"/>
      <c r="P75" s="1"/>
      <c r="Q75" s="35"/>
      <c r="R75" s="1"/>
      <c r="S75" s="1"/>
      <c r="T75" s="1"/>
      <c r="U75" s="1"/>
      <c r="V75" s="1"/>
      <c r="W75" s="1"/>
      <c r="X75" s="1"/>
      <c r="Y75" s="1"/>
      <c r="Z75" s="1"/>
    </row>
    <row r="76" ht="12.75" customHeight="1" spans="1:26">
      <c r="A76" s="29" t="s">
        <v>546</v>
      </c>
      <c r="B76" s="30" t="s">
        <v>547</v>
      </c>
      <c r="C76" s="30" t="s">
        <v>548</v>
      </c>
      <c r="D76" s="30" t="s">
        <v>549</v>
      </c>
      <c r="E76" s="30" t="s">
        <v>550</v>
      </c>
      <c r="F76" s="41" t="s">
        <v>54</v>
      </c>
      <c r="G76" s="41"/>
      <c r="H76" s="41"/>
      <c r="I76" s="41"/>
      <c r="J76" s="41"/>
      <c r="K76" s="41"/>
      <c r="L76" s="41"/>
      <c r="M76" s="41"/>
      <c r="N76" s="41"/>
      <c r="O76" s="41"/>
      <c r="P76" s="1"/>
      <c r="Q76" s="35"/>
      <c r="R76" s="1"/>
      <c r="S76" s="1"/>
      <c r="T76" s="1"/>
      <c r="U76" s="1"/>
      <c r="V76" s="1"/>
      <c r="W76" s="1"/>
      <c r="X76" s="1"/>
      <c r="Y76" s="1"/>
      <c r="Z76" s="1"/>
    </row>
    <row r="77" ht="12.75" customHeight="1" spans="1:26">
      <c r="A77" s="29" t="s">
        <v>551</v>
      </c>
      <c r="B77" s="30" t="s">
        <v>552</v>
      </c>
      <c r="C77" s="30" t="s">
        <v>553</v>
      </c>
      <c r="D77" s="30" t="s">
        <v>554</v>
      </c>
      <c r="E77" s="30" t="s">
        <v>385</v>
      </c>
      <c r="F77" s="41" t="s">
        <v>54</v>
      </c>
      <c r="G77" s="41"/>
      <c r="H77" s="41"/>
      <c r="I77" s="41"/>
      <c r="J77" s="41"/>
      <c r="K77" s="41"/>
      <c r="L77" s="41"/>
      <c r="M77" s="41"/>
      <c r="N77" s="41"/>
      <c r="O77" s="41"/>
      <c r="P77" s="1"/>
      <c r="Q77" s="35"/>
      <c r="R77" s="1"/>
      <c r="S77" s="1"/>
      <c r="T77" s="1"/>
      <c r="U77" s="1"/>
      <c r="V77" s="1"/>
      <c r="W77" s="1"/>
      <c r="X77" s="1"/>
      <c r="Y77" s="1"/>
      <c r="Z77" s="1"/>
    </row>
    <row r="78" ht="12.75" customHeight="1" spans="1:26">
      <c r="A78" s="29" t="s">
        <v>555</v>
      </c>
      <c r="B78" s="30" t="s">
        <v>556</v>
      </c>
      <c r="C78" s="30" t="s">
        <v>557</v>
      </c>
      <c r="D78" s="30" t="s">
        <v>558</v>
      </c>
      <c r="E78" s="30" t="s">
        <v>385</v>
      </c>
      <c r="F78" s="41" t="s">
        <v>54</v>
      </c>
      <c r="G78" s="41"/>
      <c r="H78" s="41"/>
      <c r="I78" s="41"/>
      <c r="J78" s="41"/>
      <c r="K78" s="41"/>
      <c r="L78" s="41"/>
      <c r="M78" s="41"/>
      <c r="N78" s="41"/>
      <c r="O78" s="41"/>
      <c r="P78" s="1"/>
      <c r="Q78" s="35"/>
      <c r="R78" s="1"/>
      <c r="S78" s="1"/>
      <c r="T78" s="1"/>
      <c r="U78" s="1"/>
      <c r="V78" s="1"/>
      <c r="W78" s="1"/>
      <c r="X78" s="1"/>
      <c r="Y78" s="1"/>
      <c r="Z78" s="1"/>
    </row>
    <row r="79" ht="12.75" customHeight="1" spans="1:26">
      <c r="A79" s="29" t="s">
        <v>559</v>
      </c>
      <c r="B79" s="30" t="s">
        <v>455</v>
      </c>
      <c r="C79" s="30" t="s">
        <v>560</v>
      </c>
      <c r="D79" s="30" t="s">
        <v>561</v>
      </c>
      <c r="E79" s="30" t="s">
        <v>562</v>
      </c>
      <c r="F79" s="41" t="s">
        <v>54</v>
      </c>
      <c r="G79" s="41"/>
      <c r="H79" s="41"/>
      <c r="I79" s="41"/>
      <c r="J79" s="41"/>
      <c r="K79" s="41"/>
      <c r="L79" s="41"/>
      <c r="M79" s="41"/>
      <c r="N79" s="41"/>
      <c r="O79" s="41"/>
      <c r="P79" s="1"/>
      <c r="Q79" s="35"/>
      <c r="R79" s="1"/>
      <c r="S79" s="1"/>
      <c r="T79" s="1"/>
      <c r="U79" s="1"/>
      <c r="V79" s="1"/>
      <c r="W79" s="1"/>
      <c r="X79" s="1"/>
      <c r="Y79" s="1"/>
      <c r="Z79" s="1"/>
    </row>
    <row r="80" ht="12.75" customHeight="1" spans="1:26">
      <c r="A80" s="29" t="s">
        <v>563</v>
      </c>
      <c r="B80" s="30" t="s">
        <v>564</v>
      </c>
      <c r="C80" s="30" t="s">
        <v>565</v>
      </c>
      <c r="D80" s="30" t="s">
        <v>566</v>
      </c>
      <c r="E80" s="30" t="s">
        <v>562</v>
      </c>
      <c r="F80" s="41" t="s">
        <v>54</v>
      </c>
      <c r="G80" s="41"/>
      <c r="H80" s="41"/>
      <c r="I80" s="41"/>
      <c r="J80" s="41"/>
      <c r="K80" s="41"/>
      <c r="L80" s="41"/>
      <c r="M80" s="41"/>
      <c r="N80" s="41"/>
      <c r="O80" s="41"/>
      <c r="P80" s="1"/>
      <c r="Q80" s="35"/>
      <c r="R80" s="1"/>
      <c r="S80" s="1"/>
      <c r="T80" s="1"/>
      <c r="U80" s="1"/>
      <c r="V80" s="1"/>
      <c r="W80" s="1"/>
      <c r="X80" s="1"/>
      <c r="Y80" s="1"/>
      <c r="Z80" s="1"/>
    </row>
    <row r="81" ht="12.75" customHeight="1" spans="1:26">
      <c r="A81" s="29" t="s">
        <v>567</v>
      </c>
      <c r="B81" s="30" t="s">
        <v>568</v>
      </c>
      <c r="C81" s="30" t="s">
        <v>569</v>
      </c>
      <c r="D81" s="30" t="s">
        <v>570</v>
      </c>
      <c r="E81" s="30" t="s">
        <v>571</v>
      </c>
      <c r="F81" s="41" t="s">
        <v>54</v>
      </c>
      <c r="G81" s="41"/>
      <c r="H81" s="41"/>
      <c r="I81" s="41"/>
      <c r="J81" s="41"/>
      <c r="K81" s="41"/>
      <c r="L81" s="41"/>
      <c r="M81" s="41"/>
      <c r="N81" s="41"/>
      <c r="O81" s="41"/>
      <c r="P81" s="1"/>
      <c r="Q81" s="35"/>
      <c r="R81" s="1"/>
      <c r="S81" s="1"/>
      <c r="T81" s="1"/>
      <c r="U81" s="1"/>
      <c r="V81" s="1"/>
      <c r="W81" s="1"/>
      <c r="X81" s="1"/>
      <c r="Y81" s="1"/>
      <c r="Z81" s="1"/>
    </row>
    <row r="82" ht="12.75" customHeight="1" spans="1:26">
      <c r="A82" s="29" t="s">
        <v>572</v>
      </c>
      <c r="B82" s="30" t="s">
        <v>573</v>
      </c>
      <c r="C82" s="30" t="s">
        <v>574</v>
      </c>
      <c r="D82" s="30" t="s">
        <v>575</v>
      </c>
      <c r="E82" s="30" t="s">
        <v>576</v>
      </c>
      <c r="F82" s="41" t="s">
        <v>54</v>
      </c>
      <c r="G82" s="41"/>
      <c r="H82" s="41"/>
      <c r="I82" s="41"/>
      <c r="J82" s="41"/>
      <c r="K82" s="41"/>
      <c r="L82" s="41"/>
      <c r="M82" s="41"/>
      <c r="N82" s="41"/>
      <c r="O82" s="41"/>
      <c r="P82" s="1"/>
      <c r="Q82" s="35"/>
      <c r="R82" s="1"/>
      <c r="S82" s="1"/>
      <c r="T82" s="1"/>
      <c r="U82" s="1"/>
      <c r="V82" s="1"/>
      <c r="W82" s="1"/>
      <c r="X82" s="1"/>
      <c r="Y82" s="1"/>
      <c r="Z82" s="1"/>
    </row>
    <row r="83" ht="12.75" customHeight="1" spans="1:26">
      <c r="A83" s="29" t="s">
        <v>577</v>
      </c>
      <c r="B83" s="30" t="s">
        <v>578</v>
      </c>
      <c r="C83" s="30" t="s">
        <v>579</v>
      </c>
      <c r="D83" s="30" t="s">
        <v>580</v>
      </c>
      <c r="E83" s="30" t="s">
        <v>581</v>
      </c>
      <c r="F83" s="41" t="s">
        <v>54</v>
      </c>
      <c r="G83" s="41"/>
      <c r="H83" s="41"/>
      <c r="I83" s="41"/>
      <c r="J83" s="41"/>
      <c r="K83" s="41"/>
      <c r="L83" s="41"/>
      <c r="M83" s="41"/>
      <c r="N83" s="41"/>
      <c r="O83" s="41"/>
      <c r="P83" s="1"/>
      <c r="Q83" s="35"/>
      <c r="R83" s="1"/>
      <c r="S83" s="1"/>
      <c r="T83" s="1"/>
      <c r="U83" s="1"/>
      <c r="V83" s="1"/>
      <c r="W83" s="1"/>
      <c r="X83" s="1"/>
      <c r="Y83" s="1"/>
      <c r="Z83" s="1"/>
    </row>
    <row r="84" ht="12.75" customHeight="1" spans="1:26">
      <c r="A84" s="29" t="s">
        <v>582</v>
      </c>
      <c r="B84" s="30" t="s">
        <v>583</v>
      </c>
      <c r="C84" s="30" t="s">
        <v>584</v>
      </c>
      <c r="D84" s="30" t="s">
        <v>585</v>
      </c>
      <c r="E84" s="30" t="s">
        <v>586</v>
      </c>
      <c r="F84" s="41" t="s">
        <v>54</v>
      </c>
      <c r="G84" s="41"/>
      <c r="H84" s="41"/>
      <c r="I84" s="41"/>
      <c r="J84" s="41"/>
      <c r="K84" s="41"/>
      <c r="L84" s="41"/>
      <c r="M84" s="41"/>
      <c r="N84" s="41"/>
      <c r="O84" s="41"/>
      <c r="P84" s="1"/>
      <c r="Q84" s="35"/>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35"/>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35"/>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35"/>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35"/>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35"/>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35"/>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35"/>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35"/>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35"/>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35"/>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35"/>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35"/>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35"/>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35"/>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35"/>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35"/>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35"/>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35"/>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35"/>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35"/>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35"/>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35"/>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35"/>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35"/>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35"/>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35"/>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35"/>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35"/>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35"/>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35"/>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35"/>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35"/>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35"/>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35"/>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35"/>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35"/>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35"/>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35"/>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35"/>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35"/>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35"/>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35"/>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35"/>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35"/>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35"/>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35"/>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35"/>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35"/>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35"/>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35"/>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35"/>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35"/>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35"/>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35"/>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35"/>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35"/>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35"/>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35"/>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35"/>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35"/>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35"/>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35"/>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35"/>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35"/>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35"/>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35"/>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35"/>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35"/>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35"/>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35"/>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35"/>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35"/>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35"/>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35"/>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35"/>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35"/>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35"/>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35"/>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35"/>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35"/>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35"/>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35"/>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35"/>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35"/>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35"/>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35"/>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35"/>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35"/>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35"/>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35"/>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35"/>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35"/>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35"/>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35"/>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35"/>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35"/>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35"/>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35"/>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35"/>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35"/>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35"/>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35"/>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35"/>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35"/>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35"/>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35"/>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35"/>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35"/>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35"/>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35"/>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35"/>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35"/>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35"/>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35"/>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35"/>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35"/>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35"/>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35"/>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35"/>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35"/>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35"/>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35"/>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35"/>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35"/>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35"/>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35"/>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35"/>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35"/>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35"/>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35"/>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35"/>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35"/>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35"/>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35"/>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35"/>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35"/>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35"/>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35"/>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35"/>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35"/>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35"/>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35"/>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35"/>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35"/>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35"/>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35"/>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35"/>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35"/>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35"/>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35"/>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35"/>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35"/>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35"/>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35"/>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35"/>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35"/>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35"/>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35"/>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35"/>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35"/>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35"/>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35"/>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35"/>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35"/>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35"/>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35"/>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35"/>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35"/>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35"/>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35"/>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35"/>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35"/>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35"/>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35"/>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35"/>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35"/>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35"/>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35"/>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35"/>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35"/>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35"/>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35"/>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35"/>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35"/>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35"/>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35"/>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35"/>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35"/>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35"/>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35"/>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35"/>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35"/>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35"/>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35"/>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35"/>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35"/>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35"/>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35"/>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35"/>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35"/>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35"/>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35"/>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35"/>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35"/>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35"/>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35"/>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35"/>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35"/>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35"/>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35"/>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35"/>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35"/>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35"/>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35"/>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35"/>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35"/>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35"/>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35"/>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35"/>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35"/>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35"/>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35"/>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35"/>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35"/>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35"/>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35"/>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35"/>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35"/>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35"/>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35"/>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35"/>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35"/>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35"/>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35"/>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35"/>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35"/>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35"/>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35"/>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35"/>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35"/>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35"/>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35"/>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35"/>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35"/>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35"/>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35"/>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35"/>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35"/>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35"/>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35"/>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35"/>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35"/>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35"/>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35"/>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35"/>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35"/>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35"/>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35"/>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35"/>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35"/>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35"/>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35"/>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35"/>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35"/>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35"/>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35"/>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35"/>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35"/>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35"/>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35"/>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35"/>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35"/>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35"/>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35"/>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35"/>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35"/>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35"/>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35"/>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35"/>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35"/>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35"/>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35"/>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35"/>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35"/>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35"/>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35"/>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35"/>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35"/>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35"/>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35"/>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35"/>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35"/>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35"/>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35"/>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35"/>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35"/>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35"/>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35"/>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35"/>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35"/>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35"/>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35"/>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35"/>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35"/>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35"/>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35"/>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35"/>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35"/>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35"/>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35"/>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35"/>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35"/>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35"/>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35"/>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35"/>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35"/>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35"/>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35"/>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35"/>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35"/>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35"/>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35"/>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35"/>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35"/>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35"/>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35"/>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35"/>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35"/>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35"/>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35"/>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35"/>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35"/>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35"/>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35"/>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35"/>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35"/>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35"/>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35"/>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35"/>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35"/>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35"/>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35"/>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35"/>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35"/>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35"/>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35"/>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35"/>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35"/>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35"/>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35"/>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35"/>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35"/>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35"/>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35"/>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35"/>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35"/>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35"/>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35"/>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35"/>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35"/>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35"/>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35"/>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35"/>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35"/>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35"/>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35"/>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35"/>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35"/>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35"/>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35"/>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35"/>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35"/>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35"/>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35"/>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35"/>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35"/>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35"/>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35"/>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35"/>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35"/>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35"/>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35"/>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35"/>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35"/>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35"/>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35"/>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35"/>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35"/>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35"/>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35"/>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35"/>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35"/>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35"/>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35"/>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35"/>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35"/>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35"/>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35"/>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35"/>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35"/>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35"/>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35"/>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35"/>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35"/>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35"/>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35"/>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35"/>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35"/>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35"/>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35"/>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35"/>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35"/>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35"/>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35"/>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35"/>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35"/>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35"/>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35"/>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35"/>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35"/>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35"/>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35"/>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35"/>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35"/>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35"/>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35"/>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35"/>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35"/>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35"/>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35"/>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35"/>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35"/>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35"/>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35"/>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35"/>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35"/>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35"/>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35"/>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35"/>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35"/>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35"/>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35"/>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35"/>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35"/>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35"/>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35"/>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35"/>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35"/>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35"/>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35"/>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35"/>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35"/>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35"/>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35"/>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35"/>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35"/>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35"/>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35"/>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35"/>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35"/>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35"/>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35"/>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35"/>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35"/>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35"/>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35"/>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35"/>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35"/>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35"/>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35"/>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35"/>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35"/>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35"/>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35"/>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35"/>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35"/>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35"/>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35"/>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35"/>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35"/>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35"/>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35"/>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35"/>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35"/>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35"/>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35"/>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35"/>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35"/>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35"/>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35"/>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35"/>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35"/>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35"/>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35"/>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35"/>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35"/>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35"/>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35"/>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35"/>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35"/>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35"/>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35"/>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35"/>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35"/>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35"/>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35"/>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35"/>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35"/>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35"/>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35"/>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35"/>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35"/>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35"/>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35"/>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35"/>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35"/>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35"/>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35"/>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35"/>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35"/>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35"/>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35"/>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35"/>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35"/>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35"/>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35"/>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35"/>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35"/>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35"/>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35"/>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35"/>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35"/>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35"/>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35"/>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35"/>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35"/>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35"/>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35"/>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35"/>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35"/>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35"/>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35"/>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35"/>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35"/>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35"/>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35"/>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35"/>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35"/>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35"/>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35"/>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35"/>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35"/>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35"/>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35"/>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35"/>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35"/>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35"/>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35"/>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35"/>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35"/>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35"/>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35"/>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35"/>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35"/>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35"/>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35"/>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35"/>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35"/>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35"/>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35"/>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35"/>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35"/>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35"/>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35"/>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35"/>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35"/>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35"/>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35"/>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35"/>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35"/>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35"/>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35"/>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35"/>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35"/>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35"/>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35"/>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35"/>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35"/>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35"/>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35"/>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35"/>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35"/>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35"/>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35"/>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35"/>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35"/>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35"/>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35"/>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35"/>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35"/>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35"/>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35"/>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35"/>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35"/>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35"/>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35"/>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35"/>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35"/>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35"/>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35"/>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35"/>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35"/>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35"/>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35"/>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35"/>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35"/>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35"/>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35"/>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35"/>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35"/>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35"/>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35"/>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35"/>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35"/>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35"/>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35"/>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35"/>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35"/>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35"/>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35"/>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35"/>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35"/>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35"/>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35"/>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35"/>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35"/>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35"/>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35"/>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35"/>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35"/>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35"/>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35"/>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35"/>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35"/>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35"/>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35"/>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35"/>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35"/>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35"/>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35"/>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35"/>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35"/>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35"/>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35"/>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35"/>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35"/>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35"/>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35"/>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35"/>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35"/>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35"/>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35"/>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35"/>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35"/>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35"/>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35"/>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35"/>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35"/>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35"/>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35"/>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35"/>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35"/>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35"/>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35"/>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35"/>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35"/>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35"/>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35"/>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35"/>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35"/>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35"/>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35"/>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35"/>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35"/>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35"/>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35"/>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35"/>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35"/>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35"/>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35"/>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35"/>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35"/>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35"/>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35"/>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35"/>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35"/>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35"/>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35"/>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35"/>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35"/>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35"/>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35"/>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35"/>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35"/>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35"/>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35"/>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35"/>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35"/>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35"/>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35"/>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35"/>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35"/>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35"/>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35"/>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35"/>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35"/>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35"/>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35"/>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35"/>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35"/>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35"/>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35"/>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35"/>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35"/>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35"/>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35"/>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35"/>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35"/>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35"/>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35"/>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35"/>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35"/>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35"/>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35"/>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35"/>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35"/>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35"/>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35"/>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35"/>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35"/>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35"/>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35"/>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35"/>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35"/>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35"/>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35"/>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35"/>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35"/>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35"/>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35"/>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35"/>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35"/>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35"/>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35"/>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35"/>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35"/>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35"/>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35"/>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35"/>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35"/>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35"/>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35"/>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35"/>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35"/>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35"/>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35"/>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35"/>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35"/>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35"/>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35"/>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35"/>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35"/>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35"/>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35"/>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35"/>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35"/>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35"/>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35"/>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35"/>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35"/>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35"/>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35"/>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35"/>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35"/>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35"/>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35"/>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35"/>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35"/>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35"/>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35"/>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35"/>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35"/>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35"/>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35"/>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35"/>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35"/>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35"/>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35"/>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35"/>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35"/>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35"/>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35"/>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35"/>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35"/>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35"/>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35"/>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35"/>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35"/>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35"/>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35"/>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35"/>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35"/>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35"/>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35"/>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35"/>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35"/>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35"/>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35"/>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35"/>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35"/>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35"/>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35"/>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35"/>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35"/>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35"/>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35"/>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35"/>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35"/>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35"/>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35"/>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35"/>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35"/>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35"/>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35"/>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35"/>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35"/>
      <c r="R920" s="1"/>
      <c r="S920" s="1"/>
      <c r="T920" s="1"/>
      <c r="U920" s="1"/>
      <c r="V920" s="1"/>
      <c r="W920" s="1"/>
      <c r="X920" s="1"/>
      <c r="Y920" s="1"/>
      <c r="Z920" s="1"/>
    </row>
  </sheetData>
  <mergeCells count="3">
    <mergeCell ref="B2:E2"/>
    <mergeCell ref="B3:E3"/>
    <mergeCell ref="B4:E4"/>
  </mergeCells>
  <dataValidations count="1">
    <dataValidation type="list" allowBlank="1" showErrorMessage="1" sqref="G9 J9 M9 F11:F84 G2:G3 I11:I84 J2:J3 L11:L84 M2:M3">
      <formula1>$R$2:$R$5</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10" topLeftCell="A11" activePane="bottomLeft" state="frozen"/>
      <selection/>
      <selection pane="bottomLeft" activeCell="B12" sqref="B12"/>
    </sheetView>
  </sheetViews>
  <sheetFormatPr defaultColWidth="12.6296296296296" defaultRowHeight="15" customHeight="1"/>
  <cols>
    <col min="1" max="1" width="17" customWidth="1"/>
    <col min="2" max="2" width="34.5" customWidth="1"/>
    <col min="3" max="3" width="33.3796296296296" customWidth="1"/>
    <col min="4" max="4" width="34.6296296296296" customWidth="1"/>
    <col min="5" max="5" width="28.3796296296296" customWidth="1"/>
    <col min="6" max="6" width="9.37962962962963" customWidth="1"/>
    <col min="7" max="7" width="10.6296296296296" customWidth="1" outlineLevel="1"/>
    <col min="8" max="8" width="7" customWidth="1" outlineLevel="1"/>
    <col min="9" max="9" width="9.37962962962963" customWidth="1"/>
    <col min="10" max="10" width="10.6296296296296" customWidth="1" outlineLevel="1"/>
    <col min="11" max="11" width="7" customWidth="1" outlineLevel="1"/>
    <col min="12" max="12" width="9.37962962962963" customWidth="1"/>
    <col min="13" max="13" width="10.6296296296296" customWidth="1" outlineLevel="1"/>
    <col min="14" max="14" width="7"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1"/>
      <c r="C1" s="1"/>
      <c r="D1" s="1"/>
      <c r="E1" s="1"/>
      <c r="F1" s="1"/>
      <c r="G1" s="1"/>
      <c r="H1" s="1"/>
      <c r="I1" s="1"/>
      <c r="J1" s="1"/>
      <c r="K1" s="1"/>
      <c r="L1" s="1"/>
      <c r="M1" s="1"/>
      <c r="N1" s="1"/>
      <c r="O1" s="1"/>
      <c r="P1" s="1"/>
      <c r="Q1" s="35"/>
      <c r="R1" s="1"/>
      <c r="S1" s="1"/>
      <c r="T1" s="1"/>
      <c r="U1" s="1"/>
      <c r="V1" s="1"/>
      <c r="W1" s="1"/>
      <c r="X1" s="1"/>
      <c r="Y1" s="1"/>
      <c r="Z1" s="1"/>
    </row>
    <row r="2" customHeight="1" spans="1:26">
      <c r="A2" s="2" t="s">
        <v>63</v>
      </c>
      <c r="B2" s="3" t="s">
        <v>34</v>
      </c>
      <c r="C2" s="4"/>
      <c r="D2" s="4"/>
      <c r="E2" s="5"/>
      <c r="F2" s="6"/>
      <c r="G2" s="7"/>
      <c r="H2" s="8"/>
      <c r="I2" s="6"/>
      <c r="J2" s="7"/>
      <c r="K2" s="8"/>
      <c r="L2" s="6"/>
      <c r="M2" s="7"/>
      <c r="N2" s="8"/>
      <c r="O2" s="8"/>
      <c r="P2" s="8"/>
      <c r="Q2" s="36"/>
      <c r="R2" s="34" t="s">
        <v>54</v>
      </c>
      <c r="S2" s="34"/>
      <c r="T2" s="34"/>
      <c r="U2" s="34"/>
      <c r="V2" s="34"/>
      <c r="W2" s="34"/>
      <c r="X2" s="34"/>
      <c r="Y2" s="34"/>
      <c r="Z2" s="34"/>
    </row>
    <row r="3" ht="12.75" customHeight="1" spans="1:26">
      <c r="A3" s="9" t="s">
        <v>64</v>
      </c>
      <c r="B3" s="10" t="s">
        <v>587</v>
      </c>
      <c r="C3" s="11"/>
      <c r="D3" s="11"/>
      <c r="E3" s="12"/>
      <c r="F3" s="6"/>
      <c r="G3" s="7"/>
      <c r="H3" s="8"/>
      <c r="I3" s="6"/>
      <c r="J3" s="7"/>
      <c r="K3" s="8"/>
      <c r="L3" s="6"/>
      <c r="M3" s="7"/>
      <c r="N3" s="8"/>
      <c r="O3" s="8"/>
      <c r="P3" s="8"/>
      <c r="Q3" s="36"/>
      <c r="R3" s="34" t="s">
        <v>55</v>
      </c>
      <c r="S3" s="34"/>
      <c r="T3" s="34"/>
      <c r="U3" s="34"/>
      <c r="V3" s="34"/>
      <c r="W3" s="34"/>
      <c r="X3" s="34"/>
      <c r="Y3" s="34"/>
      <c r="Z3" s="34"/>
    </row>
    <row r="4" ht="18" customHeight="1" spans="1:26">
      <c r="A4" s="9" t="s">
        <v>66</v>
      </c>
      <c r="B4" s="10">
        <f>COUNTA(A11:A994)</f>
        <v>9</v>
      </c>
      <c r="C4" s="11"/>
      <c r="D4" s="11"/>
      <c r="E4" s="12"/>
      <c r="F4" s="6"/>
      <c r="G4" s="7"/>
      <c r="H4" s="8"/>
      <c r="I4" s="6"/>
      <c r="J4" s="7"/>
      <c r="K4" s="8"/>
      <c r="L4" s="6"/>
      <c r="M4" s="7"/>
      <c r="N4" s="8"/>
      <c r="O4" s="8"/>
      <c r="P4" s="8"/>
      <c r="Q4" s="36"/>
      <c r="R4" s="34" t="s">
        <v>56</v>
      </c>
      <c r="S4" s="34"/>
      <c r="T4" s="34"/>
      <c r="U4" s="34"/>
      <c r="V4" s="34"/>
      <c r="W4" s="34"/>
      <c r="X4" s="34"/>
      <c r="Y4" s="34"/>
      <c r="Z4" s="34"/>
    </row>
    <row r="5" ht="19.5" customHeight="1" spans="1:26">
      <c r="A5" s="13" t="s">
        <v>67</v>
      </c>
      <c r="B5" s="14" t="s">
        <v>54</v>
      </c>
      <c r="C5" s="14" t="s">
        <v>55</v>
      </c>
      <c r="D5" s="14" t="s">
        <v>56</v>
      </c>
      <c r="E5" s="15" t="s">
        <v>57</v>
      </c>
      <c r="F5" s="16"/>
      <c r="G5" s="16"/>
      <c r="H5" s="17"/>
      <c r="I5" s="16"/>
      <c r="J5" s="16"/>
      <c r="K5" s="17"/>
      <c r="L5" s="16"/>
      <c r="M5" s="16"/>
      <c r="N5" s="17"/>
      <c r="O5" s="17"/>
      <c r="P5" s="17"/>
      <c r="Q5" s="37"/>
      <c r="R5" s="34" t="s">
        <v>57</v>
      </c>
      <c r="S5" s="34"/>
      <c r="T5" s="34"/>
      <c r="U5" s="34"/>
      <c r="V5" s="34"/>
      <c r="W5" s="34"/>
      <c r="X5" s="34"/>
      <c r="Y5" s="34"/>
      <c r="Z5" s="34"/>
    </row>
    <row r="6" customHeight="1" spans="1:26">
      <c r="A6" s="13" t="s">
        <v>68</v>
      </c>
      <c r="B6" s="18">
        <f t="shared" ref="B6:E6" si="0">COUNTIF($F10:$F992,B5)</f>
        <v>9</v>
      </c>
      <c r="C6" s="18">
        <f t="shared" si="0"/>
        <v>0</v>
      </c>
      <c r="D6" s="18">
        <f t="shared" si="0"/>
        <v>0</v>
      </c>
      <c r="E6" s="19">
        <f t="shared" si="0"/>
        <v>0</v>
      </c>
      <c r="F6" s="20"/>
      <c r="G6" s="20"/>
      <c r="H6" s="17"/>
      <c r="I6" s="20"/>
      <c r="J6" s="20"/>
      <c r="K6" s="17"/>
      <c r="L6" s="20"/>
      <c r="M6" s="20"/>
      <c r="N6" s="17"/>
      <c r="O6" s="17"/>
      <c r="P6" s="17"/>
      <c r="Q6" s="37"/>
      <c r="R6" s="34"/>
      <c r="S6" s="34"/>
      <c r="T6" s="34"/>
      <c r="U6" s="34"/>
      <c r="V6" s="34"/>
      <c r="W6" s="34"/>
      <c r="X6" s="34"/>
      <c r="Y6" s="34"/>
      <c r="Z6" s="34"/>
    </row>
    <row r="7" customHeight="1" spans="1:26">
      <c r="A7" s="13" t="s">
        <v>69</v>
      </c>
      <c r="B7" s="18">
        <f t="shared" ref="B7:E7" si="1">COUNTIF($I10:$I992,B5)</f>
        <v>0</v>
      </c>
      <c r="C7" s="18">
        <f t="shared" si="1"/>
        <v>0</v>
      </c>
      <c r="D7" s="18">
        <f t="shared" si="1"/>
        <v>0</v>
      </c>
      <c r="E7" s="19">
        <f t="shared" si="1"/>
        <v>0</v>
      </c>
      <c r="F7" s="20"/>
      <c r="G7" s="20"/>
      <c r="H7" s="17"/>
      <c r="I7" s="20"/>
      <c r="J7" s="20"/>
      <c r="K7" s="17"/>
      <c r="L7" s="20"/>
      <c r="M7" s="20"/>
      <c r="N7" s="17"/>
      <c r="O7" s="17"/>
      <c r="P7" s="17"/>
      <c r="Q7" s="37"/>
      <c r="R7" s="34"/>
      <c r="S7" s="34"/>
      <c r="T7" s="34"/>
      <c r="U7" s="34"/>
      <c r="V7" s="34"/>
      <c r="W7" s="34"/>
      <c r="X7" s="34"/>
      <c r="Y7" s="34"/>
      <c r="Z7" s="34"/>
    </row>
    <row r="8" customHeight="1" spans="1:26">
      <c r="A8" s="21" t="s">
        <v>70</v>
      </c>
      <c r="B8" s="22">
        <f t="shared" ref="B8:E8" si="2">COUNTIF($L10:$L992,B5)</f>
        <v>0</v>
      </c>
      <c r="C8" s="22">
        <f t="shared" si="2"/>
        <v>0</v>
      </c>
      <c r="D8" s="22">
        <f t="shared" si="2"/>
        <v>0</v>
      </c>
      <c r="E8" s="23">
        <f t="shared" si="2"/>
        <v>0</v>
      </c>
      <c r="F8" s="20"/>
      <c r="G8" s="20"/>
      <c r="H8" s="17"/>
      <c r="I8" s="20"/>
      <c r="J8" s="20"/>
      <c r="K8" s="17"/>
      <c r="L8" s="20"/>
      <c r="M8" s="20"/>
      <c r="N8" s="17"/>
      <c r="O8" s="17"/>
      <c r="P8" s="17"/>
      <c r="Q8" s="37"/>
      <c r="R8" s="34"/>
      <c r="S8" s="34"/>
      <c r="T8" s="34"/>
      <c r="U8" s="34"/>
      <c r="V8" s="34"/>
      <c r="W8" s="34"/>
      <c r="X8" s="34"/>
      <c r="Y8" s="34"/>
      <c r="Z8" s="34"/>
    </row>
    <row r="9" customHeight="1" spans="1:26">
      <c r="A9" s="17"/>
      <c r="B9" s="17"/>
      <c r="C9" s="17"/>
      <c r="D9" s="17"/>
      <c r="E9" s="17"/>
      <c r="F9" s="24"/>
      <c r="G9" s="17"/>
      <c r="H9" s="17"/>
      <c r="I9" s="24"/>
      <c r="J9" s="17"/>
      <c r="K9" s="17"/>
      <c r="L9" s="24"/>
      <c r="M9" s="17"/>
      <c r="N9" s="17"/>
      <c r="O9" s="17"/>
      <c r="P9" s="17"/>
      <c r="Q9" s="37"/>
      <c r="R9" s="34"/>
      <c r="S9" s="34"/>
      <c r="T9" s="34"/>
      <c r="U9" s="34"/>
      <c r="V9" s="34"/>
      <c r="W9" s="34"/>
      <c r="X9" s="34"/>
      <c r="Y9" s="34"/>
      <c r="Z9" s="34"/>
    </row>
    <row r="10" ht="25.5" customHeight="1" spans="1:26">
      <c r="A10" s="25" t="s">
        <v>71</v>
      </c>
      <c r="B10" s="25" t="s">
        <v>72</v>
      </c>
      <c r="C10" s="25" t="s">
        <v>73</v>
      </c>
      <c r="D10" s="25" t="s">
        <v>74</v>
      </c>
      <c r="E10" s="25" t="s">
        <v>75</v>
      </c>
      <c r="F10" s="25" t="s">
        <v>68</v>
      </c>
      <c r="G10" s="25" t="s">
        <v>76</v>
      </c>
      <c r="H10" s="25" t="s">
        <v>77</v>
      </c>
      <c r="I10" s="25" t="s">
        <v>69</v>
      </c>
      <c r="J10" s="25" t="s">
        <v>76</v>
      </c>
      <c r="K10" s="25" t="s">
        <v>77</v>
      </c>
      <c r="L10" s="25" t="s">
        <v>70</v>
      </c>
      <c r="M10" s="25" t="s">
        <v>76</v>
      </c>
      <c r="N10" s="25" t="s">
        <v>77</v>
      </c>
      <c r="O10" s="25" t="s">
        <v>78</v>
      </c>
      <c r="P10" s="34"/>
      <c r="Q10" s="38"/>
      <c r="R10" s="34"/>
      <c r="S10" s="34"/>
      <c r="T10" s="34"/>
      <c r="U10" s="34"/>
      <c r="V10" s="34"/>
      <c r="W10" s="34"/>
      <c r="X10" s="34"/>
      <c r="Y10" s="34"/>
      <c r="Z10" s="34"/>
    </row>
    <row r="11" ht="87" customHeight="1" outlineLevel="1" spans="1:26">
      <c r="A11" s="29" t="s">
        <v>588</v>
      </c>
      <c r="B11" s="29" t="s">
        <v>589</v>
      </c>
      <c r="C11" s="30" t="s">
        <v>590</v>
      </c>
      <c r="D11" s="30" t="s">
        <v>591</v>
      </c>
      <c r="E11" s="30" t="s">
        <v>592</v>
      </c>
      <c r="F11" s="28" t="s">
        <v>54</v>
      </c>
      <c r="G11" s="28"/>
      <c r="H11" s="28"/>
      <c r="I11" s="28"/>
      <c r="J11" s="28"/>
      <c r="K11" s="28"/>
      <c r="L11" s="28"/>
      <c r="M11" s="28"/>
      <c r="N11" s="28"/>
      <c r="O11" s="28"/>
      <c r="P11" s="42"/>
      <c r="Q11" s="39"/>
      <c r="R11" s="42"/>
      <c r="S11" s="42"/>
      <c r="T11" s="42"/>
      <c r="U11" s="42"/>
      <c r="V11" s="42"/>
      <c r="W11" s="42"/>
      <c r="X11" s="42"/>
      <c r="Y11" s="42"/>
      <c r="Z11" s="42"/>
    </row>
    <row r="12" ht="12.75" customHeight="1" outlineLevel="1" spans="1:26">
      <c r="A12" s="29" t="s">
        <v>593</v>
      </c>
      <c r="B12" s="29" t="s">
        <v>594</v>
      </c>
      <c r="C12" s="30" t="s">
        <v>595</v>
      </c>
      <c r="D12" s="30" t="s">
        <v>596</v>
      </c>
      <c r="E12" s="30" t="s">
        <v>385</v>
      </c>
      <c r="F12" s="28" t="s">
        <v>54</v>
      </c>
      <c r="G12" s="28"/>
      <c r="H12" s="28"/>
      <c r="I12" s="28"/>
      <c r="J12" s="28"/>
      <c r="K12" s="28"/>
      <c r="L12" s="28"/>
      <c r="M12" s="28"/>
      <c r="N12" s="28"/>
      <c r="O12" s="28"/>
      <c r="P12" s="1"/>
      <c r="Q12" s="39"/>
      <c r="R12" s="1"/>
      <c r="S12" s="1"/>
      <c r="T12" s="1"/>
      <c r="U12" s="1"/>
      <c r="V12" s="1"/>
      <c r="W12" s="1"/>
      <c r="X12" s="1"/>
      <c r="Y12" s="1"/>
      <c r="Z12" s="1"/>
    </row>
    <row r="13" ht="12.75" customHeight="1" outlineLevel="1" spans="1:26">
      <c r="A13" s="29" t="s">
        <v>597</v>
      </c>
      <c r="B13" s="29" t="s">
        <v>598</v>
      </c>
      <c r="C13" s="30" t="s">
        <v>599</v>
      </c>
      <c r="D13" s="30" t="s">
        <v>600</v>
      </c>
      <c r="E13" s="30" t="s">
        <v>601</v>
      </c>
      <c r="F13" s="28" t="s">
        <v>54</v>
      </c>
      <c r="G13" s="28"/>
      <c r="H13" s="28"/>
      <c r="I13" s="28"/>
      <c r="J13" s="28"/>
      <c r="K13" s="28"/>
      <c r="L13" s="28"/>
      <c r="M13" s="28"/>
      <c r="N13" s="28"/>
      <c r="O13" s="28"/>
      <c r="P13" s="1"/>
      <c r="Q13" s="39"/>
      <c r="R13" s="1"/>
      <c r="S13" s="1"/>
      <c r="T13" s="1"/>
      <c r="U13" s="1"/>
      <c r="V13" s="1"/>
      <c r="W13" s="1"/>
      <c r="X13" s="1"/>
      <c r="Y13" s="1"/>
      <c r="Z13" s="1"/>
    </row>
    <row r="14" ht="12.75" customHeight="1" outlineLevel="1" spans="1:26">
      <c r="A14" s="29" t="s">
        <v>602</v>
      </c>
      <c r="B14" s="29" t="s">
        <v>603</v>
      </c>
      <c r="C14" s="30" t="s">
        <v>604</v>
      </c>
      <c r="D14" s="30" t="s">
        <v>605</v>
      </c>
      <c r="E14" s="30" t="s">
        <v>385</v>
      </c>
      <c r="F14" s="28" t="s">
        <v>54</v>
      </c>
      <c r="G14" s="28"/>
      <c r="H14" s="28"/>
      <c r="I14" s="28"/>
      <c r="J14" s="28"/>
      <c r="K14" s="28"/>
      <c r="L14" s="28"/>
      <c r="M14" s="28"/>
      <c r="N14" s="28"/>
      <c r="O14" s="28"/>
      <c r="P14" s="1"/>
      <c r="Q14" s="39"/>
      <c r="R14" s="1"/>
      <c r="S14" s="1"/>
      <c r="T14" s="1"/>
      <c r="U14" s="1"/>
      <c r="V14" s="1"/>
      <c r="W14" s="1"/>
      <c r="X14" s="1"/>
      <c r="Y14" s="1"/>
      <c r="Z14" s="1"/>
    </row>
    <row r="15" ht="12.75" customHeight="1" outlineLevel="1" spans="1:26">
      <c r="A15" s="29" t="s">
        <v>606</v>
      </c>
      <c r="B15" s="29" t="s">
        <v>607</v>
      </c>
      <c r="C15" s="30" t="s">
        <v>608</v>
      </c>
      <c r="D15" s="30" t="s">
        <v>609</v>
      </c>
      <c r="E15" s="30" t="s">
        <v>610</v>
      </c>
      <c r="F15" s="28" t="s">
        <v>54</v>
      </c>
      <c r="G15" s="28"/>
      <c r="H15" s="28"/>
      <c r="I15" s="28"/>
      <c r="J15" s="28"/>
      <c r="K15" s="28"/>
      <c r="L15" s="28"/>
      <c r="M15" s="28"/>
      <c r="N15" s="28"/>
      <c r="O15" s="28"/>
      <c r="P15" s="1"/>
      <c r="Q15" s="39"/>
      <c r="R15" s="1"/>
      <c r="S15" s="1"/>
      <c r="T15" s="1"/>
      <c r="U15" s="1"/>
      <c r="V15" s="1"/>
      <c r="W15" s="1"/>
      <c r="X15" s="1"/>
      <c r="Y15" s="1"/>
      <c r="Z15" s="1"/>
    </row>
    <row r="16" ht="12.75" customHeight="1" spans="1:26">
      <c r="A16" s="29" t="s">
        <v>611</v>
      </c>
      <c r="B16" s="29" t="s">
        <v>612</v>
      </c>
      <c r="C16" s="30" t="s">
        <v>613</v>
      </c>
      <c r="D16" s="30" t="s">
        <v>614</v>
      </c>
      <c r="E16" s="30" t="s">
        <v>385</v>
      </c>
      <c r="F16" s="28" t="s">
        <v>54</v>
      </c>
      <c r="G16" s="28"/>
      <c r="H16" s="28"/>
      <c r="I16" s="28"/>
      <c r="J16" s="28"/>
      <c r="K16" s="28"/>
      <c r="L16" s="28"/>
      <c r="M16" s="28"/>
      <c r="N16" s="28"/>
      <c r="O16" s="28"/>
      <c r="P16" s="1"/>
      <c r="Q16" s="35"/>
      <c r="R16" s="1"/>
      <c r="S16" s="1"/>
      <c r="T16" s="1"/>
      <c r="U16" s="1"/>
      <c r="V16" s="1"/>
      <c r="W16" s="1"/>
      <c r="X16" s="1"/>
      <c r="Y16" s="1"/>
      <c r="Z16" s="1"/>
    </row>
    <row r="17" ht="12.75" customHeight="1" spans="1:26">
      <c r="A17" s="29" t="s">
        <v>615</v>
      </c>
      <c r="B17" s="29" t="s">
        <v>616</v>
      </c>
      <c r="C17" s="30" t="s">
        <v>617</v>
      </c>
      <c r="D17" s="30" t="s">
        <v>618</v>
      </c>
      <c r="E17" s="30" t="s">
        <v>385</v>
      </c>
      <c r="F17" s="28" t="s">
        <v>54</v>
      </c>
      <c r="G17" s="28"/>
      <c r="H17" s="28"/>
      <c r="I17" s="28"/>
      <c r="J17" s="28"/>
      <c r="K17" s="28"/>
      <c r="L17" s="28"/>
      <c r="M17" s="28"/>
      <c r="N17" s="28"/>
      <c r="O17" s="28"/>
      <c r="P17" s="1"/>
      <c r="Q17" s="35"/>
      <c r="R17" s="1"/>
      <c r="S17" s="1"/>
      <c r="T17" s="1"/>
      <c r="U17" s="1"/>
      <c r="V17" s="1"/>
      <c r="W17" s="1"/>
      <c r="X17" s="1"/>
      <c r="Y17" s="1"/>
      <c r="Z17" s="1"/>
    </row>
    <row r="18" ht="12.75" customHeight="1" spans="1:26">
      <c r="A18" s="29" t="s">
        <v>619</v>
      </c>
      <c r="B18" s="29" t="s">
        <v>620</v>
      </c>
      <c r="C18" s="30" t="s">
        <v>621</v>
      </c>
      <c r="D18" s="30" t="s">
        <v>622</v>
      </c>
      <c r="E18" s="30" t="s">
        <v>385</v>
      </c>
      <c r="F18" s="28" t="s">
        <v>54</v>
      </c>
      <c r="G18" s="28"/>
      <c r="H18" s="28"/>
      <c r="I18" s="28"/>
      <c r="J18" s="28"/>
      <c r="K18" s="28"/>
      <c r="L18" s="28"/>
      <c r="M18" s="28"/>
      <c r="N18" s="28"/>
      <c r="O18" s="28"/>
      <c r="P18" s="1"/>
      <c r="Q18" s="35"/>
      <c r="R18" s="1"/>
      <c r="S18" s="1"/>
      <c r="T18" s="1"/>
      <c r="U18" s="1"/>
      <c r="V18" s="1"/>
      <c r="W18" s="1"/>
      <c r="X18" s="1"/>
      <c r="Y18" s="1"/>
      <c r="Z18" s="1"/>
    </row>
    <row r="19" ht="12.75" customHeight="1" spans="1:26">
      <c r="A19" s="29" t="s">
        <v>623</v>
      </c>
      <c r="B19" s="29" t="s">
        <v>624</v>
      </c>
      <c r="C19" s="30" t="s">
        <v>625</v>
      </c>
      <c r="D19" s="30" t="s">
        <v>626</v>
      </c>
      <c r="E19" s="30" t="s">
        <v>627</v>
      </c>
      <c r="F19" s="28" t="s">
        <v>54</v>
      </c>
      <c r="G19" s="28"/>
      <c r="H19" s="28"/>
      <c r="I19" s="28"/>
      <c r="J19" s="28"/>
      <c r="K19" s="28"/>
      <c r="L19" s="28"/>
      <c r="M19" s="28"/>
      <c r="N19" s="28"/>
      <c r="O19" s="28"/>
      <c r="P19" s="1"/>
      <c r="Q19" s="35"/>
      <c r="R19" s="1"/>
      <c r="S19" s="1"/>
      <c r="T19" s="1"/>
      <c r="U19" s="1"/>
      <c r="V19" s="1"/>
      <c r="W19" s="1"/>
      <c r="X19" s="1"/>
      <c r="Y19" s="1"/>
      <c r="Z19" s="1"/>
    </row>
    <row r="20" ht="12.75" customHeight="1" spans="1:26">
      <c r="A20" s="1"/>
      <c r="B20" s="1"/>
      <c r="C20" s="1"/>
      <c r="D20" s="1"/>
      <c r="E20" s="1"/>
      <c r="F20" s="1"/>
      <c r="G20" s="1"/>
      <c r="H20" s="1"/>
      <c r="I20" s="1"/>
      <c r="J20" s="1"/>
      <c r="K20" s="1"/>
      <c r="L20" s="1"/>
      <c r="M20" s="1"/>
      <c r="N20" s="1"/>
      <c r="O20" s="1"/>
      <c r="P20" s="1"/>
      <c r="Q20" s="35"/>
      <c r="R20" s="1"/>
      <c r="S20" s="1"/>
      <c r="T20" s="1"/>
      <c r="U20" s="1"/>
      <c r="V20" s="1"/>
      <c r="W20" s="1"/>
      <c r="X20" s="1"/>
      <c r="Y20" s="1"/>
      <c r="Z20" s="1"/>
    </row>
    <row r="21" ht="12.75" customHeight="1" spans="1:26">
      <c r="A21" s="1"/>
      <c r="B21" s="1"/>
      <c r="C21" s="1"/>
      <c r="D21" s="1"/>
      <c r="E21" s="1"/>
      <c r="F21" s="1"/>
      <c r="G21" s="1"/>
      <c r="H21" s="1"/>
      <c r="I21" s="1"/>
      <c r="J21" s="1"/>
      <c r="K21" s="1"/>
      <c r="L21" s="1"/>
      <c r="M21" s="1"/>
      <c r="N21" s="1"/>
      <c r="O21" s="1"/>
      <c r="P21" s="1"/>
      <c r="Q21" s="35"/>
      <c r="R21" s="1"/>
      <c r="S21" s="1"/>
      <c r="T21" s="1"/>
      <c r="U21" s="1"/>
      <c r="V21" s="1"/>
      <c r="W21" s="1"/>
      <c r="X21" s="1"/>
      <c r="Y21" s="1"/>
      <c r="Z21" s="1"/>
    </row>
    <row r="22" ht="12.75" customHeight="1" spans="1:26">
      <c r="A22" s="1"/>
      <c r="B22" s="1"/>
      <c r="C22" s="1"/>
      <c r="D22" s="1"/>
      <c r="E22" s="1"/>
      <c r="F22" s="1"/>
      <c r="G22" s="1"/>
      <c r="H22" s="1"/>
      <c r="I22" s="1"/>
      <c r="J22" s="1"/>
      <c r="K22" s="1"/>
      <c r="L22" s="1"/>
      <c r="M22" s="1"/>
      <c r="N22" s="1"/>
      <c r="O22" s="1"/>
      <c r="P22" s="1"/>
      <c r="Q22" s="35"/>
      <c r="R22" s="1"/>
      <c r="S22" s="1"/>
      <c r="T22" s="1"/>
      <c r="U22" s="1"/>
      <c r="V22" s="1"/>
      <c r="W22" s="1"/>
      <c r="X22" s="1"/>
      <c r="Y22" s="1"/>
      <c r="Z22" s="1"/>
    </row>
    <row r="23" ht="12.75" customHeight="1" spans="1:26">
      <c r="A23" s="1"/>
      <c r="B23" s="1"/>
      <c r="C23" s="1"/>
      <c r="D23" s="1"/>
      <c r="E23" s="1"/>
      <c r="F23" s="1"/>
      <c r="G23" s="1"/>
      <c r="H23" s="1"/>
      <c r="I23" s="1"/>
      <c r="J23" s="1"/>
      <c r="K23" s="1"/>
      <c r="L23" s="1"/>
      <c r="M23" s="1"/>
      <c r="N23" s="1"/>
      <c r="O23" s="1"/>
      <c r="P23" s="1"/>
      <c r="Q23" s="35"/>
      <c r="R23" s="1"/>
      <c r="S23" s="1"/>
      <c r="T23" s="1"/>
      <c r="U23" s="1"/>
      <c r="V23" s="1"/>
      <c r="W23" s="1"/>
      <c r="X23" s="1"/>
      <c r="Y23" s="1"/>
      <c r="Z23" s="1"/>
    </row>
    <row r="24" ht="12.75" customHeight="1" spans="1:26">
      <c r="A24" s="1"/>
      <c r="B24" s="1"/>
      <c r="C24" s="1"/>
      <c r="D24" s="1"/>
      <c r="E24" s="1"/>
      <c r="F24" s="1"/>
      <c r="G24" s="1"/>
      <c r="H24" s="1"/>
      <c r="I24" s="1"/>
      <c r="J24" s="1"/>
      <c r="K24" s="1"/>
      <c r="L24" s="1"/>
      <c r="M24" s="1"/>
      <c r="N24" s="1"/>
      <c r="O24" s="1"/>
      <c r="P24" s="1"/>
      <c r="Q24" s="35"/>
      <c r="R24" s="1"/>
      <c r="S24" s="1"/>
      <c r="T24" s="1"/>
      <c r="U24" s="1"/>
      <c r="V24" s="1"/>
      <c r="W24" s="1"/>
      <c r="X24" s="1"/>
      <c r="Y24" s="1"/>
      <c r="Z24" s="1"/>
    </row>
    <row r="25" ht="12.75" customHeight="1" spans="1:26">
      <c r="A25" s="1"/>
      <c r="B25" s="1"/>
      <c r="C25" s="1"/>
      <c r="D25" s="1"/>
      <c r="E25" s="1"/>
      <c r="F25" s="1"/>
      <c r="G25" s="1"/>
      <c r="H25" s="1"/>
      <c r="I25" s="1"/>
      <c r="J25" s="1"/>
      <c r="K25" s="1"/>
      <c r="L25" s="1"/>
      <c r="M25" s="1"/>
      <c r="N25" s="1"/>
      <c r="O25" s="1"/>
      <c r="P25" s="1"/>
      <c r="Q25" s="35"/>
      <c r="R25" s="1"/>
      <c r="S25" s="1"/>
      <c r="T25" s="1"/>
      <c r="U25" s="1"/>
      <c r="V25" s="1"/>
      <c r="W25" s="1"/>
      <c r="X25" s="1"/>
      <c r="Y25" s="1"/>
      <c r="Z25" s="1"/>
    </row>
    <row r="26" ht="12.75" customHeight="1" spans="1:26">
      <c r="A26" s="1"/>
      <c r="B26" s="1"/>
      <c r="C26" s="1"/>
      <c r="D26" s="1"/>
      <c r="E26" s="1"/>
      <c r="F26" s="1"/>
      <c r="G26" s="1"/>
      <c r="H26" s="1"/>
      <c r="I26" s="1"/>
      <c r="J26" s="1"/>
      <c r="K26" s="1"/>
      <c r="L26" s="1"/>
      <c r="M26" s="1"/>
      <c r="N26" s="1"/>
      <c r="O26" s="1"/>
      <c r="P26" s="1"/>
      <c r="Q26" s="35"/>
      <c r="R26" s="1"/>
      <c r="S26" s="1"/>
      <c r="T26" s="1"/>
      <c r="U26" s="1"/>
      <c r="V26" s="1"/>
      <c r="W26" s="1"/>
      <c r="X26" s="1"/>
      <c r="Y26" s="1"/>
      <c r="Z26" s="1"/>
    </row>
    <row r="27" ht="12.75" customHeight="1" spans="1:26">
      <c r="A27" s="1"/>
      <c r="B27" s="1"/>
      <c r="C27" s="1"/>
      <c r="D27" s="1"/>
      <c r="E27" s="1"/>
      <c r="F27" s="1"/>
      <c r="G27" s="1"/>
      <c r="H27" s="1"/>
      <c r="I27" s="1"/>
      <c r="J27" s="1"/>
      <c r="K27" s="1"/>
      <c r="L27" s="1"/>
      <c r="M27" s="1"/>
      <c r="N27" s="1"/>
      <c r="O27" s="1"/>
      <c r="P27" s="1"/>
      <c r="Q27" s="35"/>
      <c r="R27" s="1"/>
      <c r="S27" s="1"/>
      <c r="T27" s="1"/>
      <c r="U27" s="1"/>
      <c r="V27" s="1"/>
      <c r="W27" s="1"/>
      <c r="X27" s="1"/>
      <c r="Y27" s="1"/>
      <c r="Z27" s="1"/>
    </row>
    <row r="28" ht="12.75" customHeight="1" spans="1:26">
      <c r="A28" s="1"/>
      <c r="B28" s="1"/>
      <c r="C28" s="1"/>
      <c r="D28" s="1"/>
      <c r="E28" s="1"/>
      <c r="F28" s="1"/>
      <c r="G28" s="1"/>
      <c r="H28" s="1"/>
      <c r="I28" s="1"/>
      <c r="J28" s="1"/>
      <c r="K28" s="1"/>
      <c r="L28" s="1"/>
      <c r="M28" s="1"/>
      <c r="N28" s="1"/>
      <c r="O28" s="1"/>
      <c r="P28" s="1"/>
      <c r="Q28" s="35"/>
      <c r="R28" s="1"/>
      <c r="S28" s="1"/>
      <c r="T28" s="1"/>
      <c r="U28" s="1"/>
      <c r="V28" s="1"/>
      <c r="W28" s="1"/>
      <c r="X28" s="1"/>
      <c r="Y28" s="1"/>
      <c r="Z28" s="1"/>
    </row>
    <row r="29" ht="12.75" customHeight="1" spans="1:26">
      <c r="A29" s="1"/>
      <c r="B29" s="1"/>
      <c r="C29" s="1"/>
      <c r="D29" s="1"/>
      <c r="E29" s="1"/>
      <c r="F29" s="1"/>
      <c r="G29" s="1"/>
      <c r="H29" s="1"/>
      <c r="I29" s="1"/>
      <c r="J29" s="1"/>
      <c r="K29" s="1"/>
      <c r="L29" s="1"/>
      <c r="M29" s="1"/>
      <c r="N29" s="1"/>
      <c r="O29" s="1"/>
      <c r="P29" s="1"/>
      <c r="Q29" s="35"/>
      <c r="R29" s="1"/>
      <c r="S29" s="1"/>
      <c r="T29" s="1"/>
      <c r="U29" s="1"/>
      <c r="V29" s="1"/>
      <c r="W29" s="1"/>
      <c r="X29" s="1"/>
      <c r="Y29" s="1"/>
      <c r="Z29" s="1"/>
    </row>
    <row r="30" ht="12.75" customHeight="1" spans="1:26">
      <c r="A30" s="1"/>
      <c r="B30" s="1"/>
      <c r="C30" s="1"/>
      <c r="D30" s="1"/>
      <c r="E30" s="1"/>
      <c r="F30" s="1"/>
      <c r="G30" s="1"/>
      <c r="H30" s="1"/>
      <c r="I30" s="1"/>
      <c r="J30" s="1"/>
      <c r="K30" s="1"/>
      <c r="L30" s="1"/>
      <c r="M30" s="1"/>
      <c r="N30" s="1"/>
      <c r="O30" s="1"/>
      <c r="P30" s="1"/>
      <c r="Q30" s="35"/>
      <c r="R30" s="1"/>
      <c r="S30" s="1"/>
      <c r="T30" s="1"/>
      <c r="U30" s="1"/>
      <c r="V30" s="1"/>
      <c r="W30" s="1"/>
      <c r="X30" s="1"/>
      <c r="Y30" s="1"/>
      <c r="Z30" s="1"/>
    </row>
    <row r="31" ht="12.75" customHeight="1" spans="1:26">
      <c r="A31" s="1"/>
      <c r="B31" s="1"/>
      <c r="C31" s="1"/>
      <c r="D31" s="1"/>
      <c r="E31" s="1"/>
      <c r="F31" s="1"/>
      <c r="G31" s="1"/>
      <c r="H31" s="1"/>
      <c r="I31" s="1"/>
      <c r="J31" s="1"/>
      <c r="K31" s="1"/>
      <c r="L31" s="1"/>
      <c r="M31" s="1"/>
      <c r="N31" s="1"/>
      <c r="O31" s="1"/>
      <c r="P31" s="1"/>
      <c r="Q31" s="35"/>
      <c r="R31" s="1"/>
      <c r="S31" s="1"/>
      <c r="T31" s="1"/>
      <c r="U31" s="1"/>
      <c r="V31" s="1"/>
      <c r="W31" s="1"/>
      <c r="X31" s="1"/>
      <c r="Y31" s="1"/>
      <c r="Z31" s="1"/>
    </row>
    <row r="32" ht="12.75" customHeight="1" spans="1:26">
      <c r="A32" s="1"/>
      <c r="B32" s="1"/>
      <c r="C32" s="1"/>
      <c r="D32" s="1"/>
      <c r="E32" s="1"/>
      <c r="F32" s="1"/>
      <c r="G32" s="1"/>
      <c r="H32" s="1"/>
      <c r="I32" s="1"/>
      <c r="J32" s="1"/>
      <c r="K32" s="1"/>
      <c r="L32" s="1"/>
      <c r="M32" s="1"/>
      <c r="N32" s="1"/>
      <c r="O32" s="1"/>
      <c r="P32" s="1"/>
      <c r="Q32" s="35"/>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35"/>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35"/>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35"/>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35"/>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35"/>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35"/>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35"/>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35"/>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35"/>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35"/>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35"/>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35"/>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35"/>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35"/>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35"/>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35"/>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35"/>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35"/>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35"/>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35"/>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35"/>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35"/>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35"/>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35"/>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35"/>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35"/>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35"/>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35"/>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35"/>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35"/>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35"/>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35"/>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35"/>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35"/>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35"/>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35"/>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35"/>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35"/>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35"/>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35"/>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35"/>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35"/>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35"/>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35"/>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35"/>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35"/>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35"/>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35"/>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35"/>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35"/>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35"/>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35"/>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35"/>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35"/>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35"/>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35"/>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35"/>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35"/>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35"/>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35"/>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35"/>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35"/>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35"/>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35"/>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35"/>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35"/>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35"/>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35"/>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35"/>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35"/>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35"/>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35"/>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35"/>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35"/>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35"/>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35"/>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35"/>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35"/>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35"/>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35"/>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35"/>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35"/>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35"/>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35"/>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35"/>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35"/>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35"/>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35"/>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35"/>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35"/>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35"/>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35"/>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35"/>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35"/>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35"/>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35"/>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35"/>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35"/>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35"/>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35"/>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35"/>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35"/>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35"/>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35"/>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35"/>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35"/>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35"/>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35"/>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35"/>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35"/>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35"/>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35"/>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35"/>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35"/>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35"/>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35"/>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35"/>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35"/>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35"/>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35"/>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35"/>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35"/>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35"/>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35"/>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35"/>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35"/>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35"/>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35"/>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35"/>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35"/>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35"/>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35"/>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35"/>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35"/>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35"/>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35"/>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35"/>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35"/>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35"/>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35"/>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35"/>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35"/>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35"/>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35"/>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35"/>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35"/>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35"/>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35"/>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35"/>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35"/>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35"/>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35"/>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35"/>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35"/>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35"/>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35"/>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35"/>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35"/>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35"/>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35"/>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35"/>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35"/>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35"/>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35"/>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35"/>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35"/>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35"/>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35"/>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35"/>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35"/>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35"/>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35"/>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35"/>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35"/>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35"/>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35"/>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35"/>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35"/>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35"/>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35"/>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35"/>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35"/>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35"/>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35"/>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35"/>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35"/>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35"/>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35"/>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35"/>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35"/>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35"/>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35"/>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35"/>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35"/>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35"/>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35"/>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35"/>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35"/>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35"/>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35"/>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35"/>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35"/>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35"/>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35"/>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35"/>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35"/>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35"/>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35"/>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35"/>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35"/>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35"/>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35"/>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35"/>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35"/>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35"/>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35"/>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35"/>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35"/>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35"/>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35"/>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35"/>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35"/>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35"/>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35"/>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35"/>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35"/>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35"/>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35"/>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35"/>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35"/>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35"/>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35"/>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35"/>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35"/>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35"/>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35"/>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35"/>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35"/>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35"/>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35"/>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35"/>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35"/>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35"/>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35"/>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35"/>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35"/>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35"/>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35"/>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35"/>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35"/>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35"/>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35"/>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35"/>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35"/>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35"/>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35"/>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35"/>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35"/>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35"/>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35"/>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35"/>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35"/>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35"/>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35"/>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35"/>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35"/>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35"/>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35"/>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35"/>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35"/>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35"/>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35"/>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35"/>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35"/>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35"/>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35"/>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35"/>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35"/>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35"/>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35"/>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35"/>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35"/>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35"/>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35"/>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35"/>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35"/>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35"/>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35"/>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35"/>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35"/>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35"/>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35"/>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35"/>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35"/>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35"/>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35"/>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35"/>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35"/>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35"/>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35"/>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35"/>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35"/>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35"/>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35"/>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35"/>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35"/>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35"/>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35"/>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35"/>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35"/>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35"/>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35"/>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35"/>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35"/>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35"/>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35"/>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35"/>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35"/>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35"/>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35"/>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35"/>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35"/>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35"/>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35"/>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35"/>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35"/>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35"/>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35"/>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35"/>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35"/>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35"/>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35"/>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35"/>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35"/>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35"/>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35"/>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35"/>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35"/>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35"/>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35"/>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35"/>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35"/>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35"/>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35"/>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35"/>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35"/>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35"/>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35"/>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35"/>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35"/>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35"/>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35"/>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35"/>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35"/>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35"/>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35"/>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35"/>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35"/>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35"/>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35"/>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35"/>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35"/>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35"/>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35"/>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35"/>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35"/>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35"/>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35"/>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35"/>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35"/>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35"/>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35"/>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35"/>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35"/>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35"/>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35"/>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35"/>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35"/>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35"/>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35"/>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35"/>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35"/>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35"/>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35"/>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35"/>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35"/>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35"/>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35"/>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35"/>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35"/>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35"/>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35"/>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35"/>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35"/>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35"/>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35"/>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35"/>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35"/>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35"/>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35"/>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35"/>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35"/>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35"/>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35"/>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35"/>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35"/>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35"/>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35"/>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35"/>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35"/>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35"/>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35"/>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35"/>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35"/>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35"/>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35"/>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35"/>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35"/>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35"/>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35"/>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35"/>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35"/>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35"/>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35"/>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35"/>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35"/>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35"/>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35"/>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35"/>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35"/>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35"/>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35"/>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35"/>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35"/>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35"/>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35"/>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35"/>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35"/>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35"/>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35"/>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35"/>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35"/>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35"/>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35"/>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35"/>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35"/>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35"/>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35"/>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35"/>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35"/>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35"/>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35"/>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35"/>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35"/>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35"/>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35"/>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35"/>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35"/>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35"/>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35"/>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35"/>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35"/>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35"/>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35"/>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35"/>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35"/>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35"/>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35"/>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35"/>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35"/>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35"/>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35"/>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35"/>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35"/>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35"/>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35"/>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35"/>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35"/>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35"/>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35"/>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35"/>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35"/>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35"/>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35"/>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35"/>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35"/>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35"/>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35"/>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35"/>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35"/>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35"/>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35"/>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35"/>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35"/>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35"/>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35"/>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35"/>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35"/>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35"/>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35"/>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35"/>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35"/>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35"/>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35"/>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35"/>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35"/>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35"/>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35"/>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35"/>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35"/>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35"/>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35"/>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35"/>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35"/>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35"/>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35"/>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35"/>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35"/>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35"/>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35"/>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35"/>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35"/>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35"/>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35"/>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35"/>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35"/>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35"/>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35"/>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35"/>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35"/>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35"/>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35"/>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35"/>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35"/>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35"/>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35"/>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35"/>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35"/>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35"/>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35"/>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35"/>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35"/>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35"/>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35"/>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35"/>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35"/>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35"/>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35"/>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35"/>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35"/>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35"/>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35"/>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35"/>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35"/>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35"/>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35"/>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35"/>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35"/>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35"/>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35"/>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35"/>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35"/>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35"/>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35"/>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35"/>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35"/>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35"/>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35"/>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35"/>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35"/>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35"/>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35"/>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35"/>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35"/>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35"/>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35"/>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35"/>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35"/>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35"/>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35"/>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35"/>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35"/>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35"/>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35"/>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35"/>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35"/>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35"/>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35"/>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35"/>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35"/>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35"/>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35"/>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35"/>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35"/>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35"/>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35"/>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35"/>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35"/>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35"/>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35"/>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35"/>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35"/>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35"/>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35"/>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35"/>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35"/>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35"/>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35"/>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35"/>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35"/>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35"/>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35"/>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35"/>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35"/>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35"/>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35"/>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35"/>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35"/>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35"/>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35"/>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35"/>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35"/>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35"/>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35"/>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35"/>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35"/>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35"/>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35"/>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35"/>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35"/>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35"/>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35"/>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35"/>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35"/>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35"/>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35"/>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35"/>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35"/>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35"/>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35"/>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35"/>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35"/>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35"/>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35"/>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35"/>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35"/>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35"/>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35"/>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35"/>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35"/>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35"/>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35"/>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35"/>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35"/>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35"/>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35"/>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35"/>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35"/>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35"/>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35"/>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35"/>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35"/>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35"/>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35"/>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35"/>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35"/>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35"/>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35"/>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35"/>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35"/>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35"/>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35"/>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35"/>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35"/>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35"/>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35"/>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35"/>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35"/>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35"/>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35"/>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35"/>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35"/>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35"/>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35"/>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35"/>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35"/>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35"/>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35"/>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35"/>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35"/>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35"/>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35"/>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35"/>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35"/>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35"/>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35"/>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35"/>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35"/>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35"/>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35"/>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35"/>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35"/>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35"/>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35"/>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35"/>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35"/>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35"/>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35"/>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35"/>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35"/>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35"/>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35"/>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35"/>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35"/>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35"/>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35"/>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35"/>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35"/>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35"/>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35"/>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35"/>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35"/>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35"/>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35"/>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35"/>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35"/>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35"/>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35"/>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35"/>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35"/>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35"/>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35"/>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35"/>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35"/>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35"/>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35"/>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35"/>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35"/>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35"/>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35"/>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35"/>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35"/>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35"/>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35"/>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35"/>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35"/>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35"/>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35"/>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35"/>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35"/>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35"/>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35"/>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35"/>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35"/>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35"/>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35"/>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35"/>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35"/>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35"/>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35"/>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35"/>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35"/>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35"/>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35"/>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35"/>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35"/>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35"/>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35"/>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35"/>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35"/>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35"/>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35"/>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35"/>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35"/>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35"/>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35"/>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35"/>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35"/>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35"/>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35"/>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35"/>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35"/>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35"/>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35"/>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35"/>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35"/>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35"/>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35"/>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35"/>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35"/>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35"/>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35"/>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35"/>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35"/>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35"/>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35"/>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35"/>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35"/>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35"/>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35"/>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35"/>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35"/>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35"/>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35"/>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35"/>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35"/>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35"/>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35"/>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35"/>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35"/>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35"/>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35"/>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35"/>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35"/>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35"/>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35"/>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35"/>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35"/>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35"/>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35"/>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35"/>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35"/>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35"/>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35"/>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35"/>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35"/>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35"/>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35"/>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35"/>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35"/>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35"/>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35"/>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35"/>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35"/>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35"/>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35"/>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35"/>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35"/>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35"/>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35"/>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35"/>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35"/>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35"/>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35"/>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35"/>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35"/>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35"/>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35"/>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35"/>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35"/>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35"/>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35"/>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35"/>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35"/>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35"/>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35"/>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35"/>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35"/>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35"/>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35"/>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35"/>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35"/>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35"/>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35"/>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35"/>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35"/>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35"/>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35"/>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35"/>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35"/>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35"/>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35"/>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35"/>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35"/>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35"/>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35"/>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35"/>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35"/>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35"/>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35"/>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35"/>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35"/>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35"/>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35"/>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35"/>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35"/>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35"/>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35"/>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35"/>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35"/>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35"/>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35"/>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35"/>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35"/>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35"/>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35"/>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35"/>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35"/>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35"/>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35"/>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35"/>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35"/>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35"/>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35"/>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35"/>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35"/>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35"/>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35"/>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35"/>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35"/>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35"/>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35"/>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35"/>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35"/>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35"/>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35"/>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35"/>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35"/>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35"/>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35"/>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35"/>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35"/>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35"/>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35"/>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35"/>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35"/>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35"/>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35"/>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35"/>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35"/>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35"/>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35"/>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35"/>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35"/>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35"/>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35"/>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35"/>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35"/>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35"/>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35"/>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35"/>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35"/>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35"/>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35"/>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35"/>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35"/>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35"/>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35"/>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35"/>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35"/>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35"/>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35"/>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35"/>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35"/>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35"/>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35"/>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35"/>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35"/>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35"/>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35"/>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35"/>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35"/>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35"/>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35"/>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35"/>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35"/>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35"/>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35"/>
      <c r="R1000" s="1"/>
      <c r="S1000" s="1"/>
      <c r="T1000" s="1"/>
      <c r="U1000" s="1"/>
      <c r="V1000" s="1"/>
      <c r="W1000" s="1"/>
      <c r="X1000" s="1"/>
      <c r="Y1000" s="1"/>
      <c r="Z1000" s="1"/>
    </row>
  </sheetData>
  <mergeCells count="3">
    <mergeCell ref="B2:E2"/>
    <mergeCell ref="B3:E3"/>
    <mergeCell ref="B4:E4"/>
  </mergeCells>
  <dataValidations count="1">
    <dataValidation type="list" allowBlank="1" showErrorMessage="1" sqref="G9 J9 M9 F11:F19 G2:G3 G20:G141 I11:I19 J2:J3 J20:J141 L11:L19 M2:M3 M20:M141">
      <formula1>$R$2:$R$5</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10" topLeftCell="A11" activePane="bottomLeft" state="frozen"/>
      <selection/>
      <selection pane="bottomLeft" activeCell="B12" sqref="B12"/>
    </sheetView>
  </sheetViews>
  <sheetFormatPr defaultColWidth="12.6296296296296" defaultRowHeight="15" customHeight="1"/>
  <cols>
    <col min="1" max="1" width="64.25" customWidth="1"/>
    <col min="2" max="2" width="34.5" customWidth="1"/>
    <col min="3" max="3" width="33.3796296296296" customWidth="1"/>
    <col min="4" max="4" width="34.6296296296296" customWidth="1"/>
    <col min="5" max="5" width="28.3796296296296" customWidth="1"/>
    <col min="6" max="6" width="9.37962962962963" customWidth="1"/>
    <col min="7" max="7" width="10.6296296296296" customWidth="1" outlineLevel="1"/>
    <col min="8" max="8" width="7" customWidth="1" outlineLevel="1"/>
    <col min="9" max="9" width="9.37962962962963" customWidth="1"/>
    <col min="10" max="10" width="10.6296296296296" customWidth="1" outlineLevel="1"/>
    <col min="11" max="11" width="7" customWidth="1" outlineLevel="1"/>
    <col min="12" max="12" width="9.37962962962963" customWidth="1"/>
    <col min="13" max="13" width="10.6296296296296" customWidth="1" outlineLevel="1"/>
    <col min="14" max="14" width="7"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1"/>
      <c r="C1" s="1"/>
      <c r="D1" s="1"/>
      <c r="E1" s="1"/>
      <c r="F1" s="1"/>
      <c r="G1" s="1"/>
      <c r="H1" s="1"/>
      <c r="I1" s="1"/>
      <c r="J1" s="1"/>
      <c r="K1" s="1"/>
      <c r="L1" s="1"/>
      <c r="M1" s="1"/>
      <c r="N1" s="1"/>
      <c r="O1" s="1"/>
      <c r="P1" s="1"/>
      <c r="Q1" s="35"/>
      <c r="R1" s="1"/>
      <c r="S1" s="1"/>
      <c r="T1" s="1"/>
      <c r="U1" s="1"/>
      <c r="V1" s="1"/>
      <c r="W1" s="1"/>
      <c r="X1" s="1"/>
      <c r="Y1" s="1"/>
      <c r="Z1" s="1"/>
    </row>
    <row r="2" customHeight="1" spans="1:26">
      <c r="A2" s="2" t="s">
        <v>63</v>
      </c>
      <c r="B2" s="3" t="s">
        <v>38</v>
      </c>
      <c r="C2" s="4"/>
      <c r="D2" s="4"/>
      <c r="E2" s="5"/>
      <c r="F2" s="6"/>
      <c r="G2" s="7"/>
      <c r="H2" s="8"/>
      <c r="I2" s="6"/>
      <c r="J2" s="7"/>
      <c r="K2" s="8"/>
      <c r="L2" s="6"/>
      <c r="M2" s="7"/>
      <c r="N2" s="8"/>
      <c r="O2" s="8"/>
      <c r="P2" s="8"/>
      <c r="Q2" s="36"/>
      <c r="R2" s="34" t="s">
        <v>54</v>
      </c>
      <c r="S2" s="34"/>
      <c r="T2" s="34"/>
      <c r="U2" s="34"/>
      <c r="V2" s="34"/>
      <c r="W2" s="34"/>
      <c r="X2" s="34"/>
      <c r="Y2" s="34"/>
      <c r="Z2" s="34"/>
    </row>
    <row r="3" ht="12.75" customHeight="1" spans="1:26">
      <c r="A3" s="9" t="s">
        <v>64</v>
      </c>
      <c r="B3" s="10" t="s">
        <v>628</v>
      </c>
      <c r="C3" s="11"/>
      <c r="D3" s="11"/>
      <c r="E3" s="12"/>
      <c r="F3" s="6"/>
      <c r="G3" s="7"/>
      <c r="H3" s="8"/>
      <c r="I3" s="6"/>
      <c r="J3" s="7"/>
      <c r="K3" s="8"/>
      <c r="L3" s="6"/>
      <c r="M3" s="7"/>
      <c r="N3" s="8"/>
      <c r="O3" s="8"/>
      <c r="P3" s="8"/>
      <c r="Q3" s="36"/>
      <c r="R3" s="34" t="s">
        <v>55</v>
      </c>
      <c r="S3" s="34"/>
      <c r="T3" s="34"/>
      <c r="U3" s="34"/>
      <c r="V3" s="34"/>
      <c r="W3" s="34"/>
      <c r="X3" s="34"/>
      <c r="Y3" s="34"/>
      <c r="Z3" s="34"/>
    </row>
    <row r="4" ht="18" customHeight="1" spans="1:26">
      <c r="A4" s="9" t="s">
        <v>66</v>
      </c>
      <c r="B4" s="10">
        <f>COUNTA(A11:A995)</f>
        <v>36</v>
      </c>
      <c r="C4" s="11"/>
      <c r="D4" s="11"/>
      <c r="E4" s="12"/>
      <c r="F4" s="6"/>
      <c r="G4" s="7"/>
      <c r="H4" s="8"/>
      <c r="I4" s="6"/>
      <c r="J4" s="7"/>
      <c r="K4" s="8"/>
      <c r="L4" s="6"/>
      <c r="M4" s="7"/>
      <c r="N4" s="8"/>
      <c r="O4" s="8"/>
      <c r="P4" s="8"/>
      <c r="Q4" s="36"/>
      <c r="R4" s="34" t="s">
        <v>56</v>
      </c>
      <c r="S4" s="34"/>
      <c r="T4" s="34"/>
      <c r="U4" s="34"/>
      <c r="V4" s="34"/>
      <c r="W4" s="34"/>
      <c r="X4" s="34"/>
      <c r="Y4" s="34"/>
      <c r="Z4" s="34"/>
    </row>
    <row r="5" ht="19.5" customHeight="1" spans="1:26">
      <c r="A5" s="13" t="s">
        <v>67</v>
      </c>
      <c r="B5" s="14" t="s">
        <v>54</v>
      </c>
      <c r="C5" s="14" t="s">
        <v>55</v>
      </c>
      <c r="D5" s="14" t="s">
        <v>56</v>
      </c>
      <c r="E5" s="15" t="s">
        <v>57</v>
      </c>
      <c r="F5" s="16"/>
      <c r="G5" s="16"/>
      <c r="H5" s="17"/>
      <c r="I5" s="16"/>
      <c r="J5" s="16"/>
      <c r="K5" s="17"/>
      <c r="L5" s="16"/>
      <c r="M5" s="16"/>
      <c r="N5" s="17"/>
      <c r="O5" s="17"/>
      <c r="P5" s="17"/>
      <c r="Q5" s="37"/>
      <c r="R5" s="34" t="s">
        <v>57</v>
      </c>
      <c r="S5" s="34"/>
      <c r="T5" s="34"/>
      <c r="U5" s="34"/>
      <c r="V5" s="34"/>
      <c r="W5" s="34"/>
      <c r="X5" s="34"/>
      <c r="Y5" s="34"/>
      <c r="Z5" s="34"/>
    </row>
    <row r="6" customHeight="1" spans="1:26">
      <c r="A6" s="13" t="s">
        <v>68</v>
      </c>
      <c r="B6" s="18">
        <f t="shared" ref="B6:E6" si="0">COUNTIF($F10:$F993,B5)</f>
        <v>36</v>
      </c>
      <c r="C6" s="18">
        <f t="shared" si="0"/>
        <v>0</v>
      </c>
      <c r="D6" s="18">
        <f t="shared" si="0"/>
        <v>0</v>
      </c>
      <c r="E6" s="19">
        <f t="shared" si="0"/>
        <v>0</v>
      </c>
      <c r="F6" s="20"/>
      <c r="G6" s="20"/>
      <c r="H6" s="17"/>
      <c r="I6" s="20"/>
      <c r="J6" s="20"/>
      <c r="K6" s="17"/>
      <c r="L6" s="20"/>
      <c r="M6" s="20"/>
      <c r="N6" s="17"/>
      <c r="O6" s="17"/>
      <c r="P6" s="17"/>
      <c r="Q6" s="37"/>
      <c r="R6" s="34"/>
      <c r="S6" s="34"/>
      <c r="T6" s="34"/>
      <c r="U6" s="34"/>
      <c r="V6" s="34"/>
      <c r="W6" s="34"/>
      <c r="X6" s="34"/>
      <c r="Y6" s="34"/>
      <c r="Z6" s="34"/>
    </row>
    <row r="7" customHeight="1" spans="1:26">
      <c r="A7" s="13" t="s">
        <v>69</v>
      </c>
      <c r="B7" s="18">
        <f t="shared" ref="B7:E7" si="1">COUNTIF($I10:$I993,B5)</f>
        <v>0</v>
      </c>
      <c r="C7" s="18">
        <f t="shared" si="1"/>
        <v>0</v>
      </c>
      <c r="D7" s="18">
        <f t="shared" si="1"/>
        <v>0</v>
      </c>
      <c r="E7" s="19">
        <f t="shared" si="1"/>
        <v>0</v>
      </c>
      <c r="F7" s="20"/>
      <c r="G7" s="20"/>
      <c r="H7" s="17"/>
      <c r="I7" s="20"/>
      <c r="J7" s="20"/>
      <c r="K7" s="17"/>
      <c r="L7" s="20"/>
      <c r="M7" s="20"/>
      <c r="N7" s="17"/>
      <c r="O7" s="17"/>
      <c r="P7" s="17"/>
      <c r="Q7" s="37"/>
      <c r="R7" s="34"/>
      <c r="S7" s="34"/>
      <c r="T7" s="34"/>
      <c r="U7" s="34"/>
      <c r="V7" s="34"/>
      <c r="W7" s="34"/>
      <c r="X7" s="34"/>
      <c r="Y7" s="34"/>
      <c r="Z7" s="34"/>
    </row>
    <row r="8" customHeight="1" spans="1:26">
      <c r="A8" s="21" t="s">
        <v>70</v>
      </c>
      <c r="B8" s="22">
        <f t="shared" ref="B8:E8" si="2">COUNTIF($L10:$L993,B5)</f>
        <v>0</v>
      </c>
      <c r="C8" s="22">
        <f t="shared" si="2"/>
        <v>0</v>
      </c>
      <c r="D8" s="22">
        <f t="shared" si="2"/>
        <v>0</v>
      </c>
      <c r="E8" s="23">
        <f t="shared" si="2"/>
        <v>0</v>
      </c>
      <c r="F8" s="20"/>
      <c r="G8" s="20"/>
      <c r="H8" s="17"/>
      <c r="I8" s="20"/>
      <c r="J8" s="20"/>
      <c r="K8" s="17"/>
      <c r="L8" s="20"/>
      <c r="M8" s="20"/>
      <c r="N8" s="17"/>
      <c r="O8" s="17"/>
      <c r="P8" s="17"/>
      <c r="Q8" s="37"/>
      <c r="R8" s="34"/>
      <c r="S8" s="34"/>
      <c r="T8" s="34"/>
      <c r="U8" s="34"/>
      <c r="V8" s="34"/>
      <c r="W8" s="34"/>
      <c r="X8" s="34"/>
      <c r="Y8" s="34"/>
      <c r="Z8" s="34"/>
    </row>
    <row r="9" customHeight="1" spans="1:26">
      <c r="A9" s="17"/>
      <c r="B9" s="17"/>
      <c r="C9" s="17"/>
      <c r="D9" s="17"/>
      <c r="E9" s="17"/>
      <c r="F9" s="24"/>
      <c r="G9" s="17"/>
      <c r="H9" s="17"/>
      <c r="I9" s="24"/>
      <c r="J9" s="17"/>
      <c r="K9" s="17"/>
      <c r="L9" s="24"/>
      <c r="M9" s="17"/>
      <c r="N9" s="17"/>
      <c r="O9" s="17"/>
      <c r="P9" s="17"/>
      <c r="Q9" s="37"/>
      <c r="R9" s="34"/>
      <c r="S9" s="34"/>
      <c r="T9" s="34"/>
      <c r="U9" s="34"/>
      <c r="V9" s="34"/>
      <c r="W9" s="34"/>
      <c r="X9" s="34"/>
      <c r="Y9" s="34"/>
      <c r="Z9" s="34"/>
    </row>
    <row r="10" ht="25.5" customHeight="1" spans="1:26">
      <c r="A10" s="25" t="s">
        <v>71</v>
      </c>
      <c r="B10" s="25" t="s">
        <v>72</v>
      </c>
      <c r="C10" s="25" t="s">
        <v>73</v>
      </c>
      <c r="D10" s="25" t="s">
        <v>74</v>
      </c>
      <c r="E10" s="25" t="s">
        <v>75</v>
      </c>
      <c r="F10" s="25" t="s">
        <v>68</v>
      </c>
      <c r="G10" s="25" t="s">
        <v>76</v>
      </c>
      <c r="H10" s="25" t="s">
        <v>77</v>
      </c>
      <c r="I10" s="25" t="s">
        <v>69</v>
      </c>
      <c r="J10" s="25" t="s">
        <v>76</v>
      </c>
      <c r="K10" s="25" t="s">
        <v>77</v>
      </c>
      <c r="L10" s="25" t="s">
        <v>70</v>
      </c>
      <c r="M10" s="25" t="s">
        <v>76</v>
      </c>
      <c r="N10" s="25" t="s">
        <v>77</v>
      </c>
      <c r="O10" s="25" t="s">
        <v>78</v>
      </c>
      <c r="P10" s="34"/>
      <c r="Q10" s="38"/>
      <c r="R10" s="34"/>
      <c r="S10" s="34"/>
      <c r="T10" s="34"/>
      <c r="U10" s="34"/>
      <c r="V10" s="34"/>
      <c r="W10" s="34"/>
      <c r="X10" s="34"/>
      <c r="Y10" s="34"/>
      <c r="Z10" s="34"/>
    </row>
    <row r="11" ht="12.75" customHeight="1" spans="1:26">
      <c r="A11" s="40" t="s">
        <v>629</v>
      </c>
      <c r="B11" s="1"/>
      <c r="C11" s="1"/>
      <c r="D11" s="1"/>
      <c r="E11" s="1"/>
      <c r="F11" s="41" t="s">
        <v>54</v>
      </c>
      <c r="G11" s="41"/>
      <c r="H11" s="41"/>
      <c r="I11" s="41"/>
      <c r="J11" s="41"/>
      <c r="K11" s="41"/>
      <c r="L11" s="41"/>
      <c r="M11" s="41"/>
      <c r="N11" s="41"/>
      <c r="O11" s="41"/>
      <c r="P11" s="1"/>
      <c r="Q11" s="35"/>
      <c r="R11" s="1"/>
      <c r="S11" s="1"/>
      <c r="T11" s="1"/>
      <c r="U11" s="1"/>
      <c r="V11" s="1"/>
      <c r="W11" s="1"/>
      <c r="X11" s="1"/>
      <c r="Y11" s="1"/>
      <c r="Z11" s="1"/>
    </row>
    <row r="12" ht="12.75" customHeight="1" spans="1:26">
      <c r="A12" s="29" t="s">
        <v>630</v>
      </c>
      <c r="B12" s="30" t="s">
        <v>631</v>
      </c>
      <c r="C12" s="30" t="s">
        <v>632</v>
      </c>
      <c r="D12" s="30" t="s">
        <v>633</v>
      </c>
      <c r="E12" s="30" t="s">
        <v>634</v>
      </c>
      <c r="F12" s="41" t="s">
        <v>54</v>
      </c>
      <c r="G12" s="41"/>
      <c r="H12" s="41"/>
      <c r="I12" s="41"/>
      <c r="J12" s="41"/>
      <c r="K12" s="41"/>
      <c r="L12" s="41"/>
      <c r="M12" s="41"/>
      <c r="N12" s="41"/>
      <c r="O12" s="41"/>
      <c r="P12" s="1"/>
      <c r="Q12" s="35"/>
      <c r="R12" s="1"/>
      <c r="S12" s="1"/>
      <c r="T12" s="1"/>
      <c r="U12" s="1"/>
      <c r="V12" s="1"/>
      <c r="W12" s="1"/>
      <c r="X12" s="1"/>
      <c r="Y12" s="1"/>
      <c r="Z12" s="1"/>
    </row>
    <row r="13" ht="12.75" customHeight="1" spans="1:26">
      <c r="A13" s="29" t="s">
        <v>635</v>
      </c>
      <c r="B13" s="30" t="s">
        <v>636</v>
      </c>
      <c r="C13" s="30" t="s">
        <v>637</v>
      </c>
      <c r="D13" s="30" t="s">
        <v>638</v>
      </c>
      <c r="E13" s="30" t="s">
        <v>639</v>
      </c>
      <c r="F13" s="41" t="s">
        <v>54</v>
      </c>
      <c r="G13" s="41"/>
      <c r="H13" s="41"/>
      <c r="I13" s="41"/>
      <c r="J13" s="41"/>
      <c r="K13" s="41"/>
      <c r="L13" s="41"/>
      <c r="M13" s="41"/>
      <c r="N13" s="41"/>
      <c r="O13" s="41"/>
      <c r="P13" s="1"/>
      <c r="Q13" s="35"/>
      <c r="R13" s="1"/>
      <c r="S13" s="1"/>
      <c r="T13" s="1"/>
      <c r="U13" s="1"/>
      <c r="V13" s="1"/>
      <c r="W13" s="1"/>
      <c r="X13" s="1"/>
      <c r="Y13" s="1"/>
      <c r="Z13" s="1"/>
    </row>
    <row r="14" ht="12.75" customHeight="1" spans="1:26">
      <c r="A14" s="29" t="s">
        <v>640</v>
      </c>
      <c r="B14" s="30" t="s">
        <v>641</v>
      </c>
      <c r="C14" s="30" t="s">
        <v>642</v>
      </c>
      <c r="D14" s="30" t="s">
        <v>643</v>
      </c>
      <c r="E14" s="30" t="s">
        <v>644</v>
      </c>
      <c r="F14" s="41" t="s">
        <v>54</v>
      </c>
      <c r="G14" s="41"/>
      <c r="H14" s="41"/>
      <c r="I14" s="41"/>
      <c r="J14" s="41"/>
      <c r="K14" s="41"/>
      <c r="L14" s="41"/>
      <c r="M14" s="41"/>
      <c r="N14" s="41"/>
      <c r="O14" s="41"/>
      <c r="P14" s="1"/>
      <c r="Q14" s="35"/>
      <c r="R14" s="1"/>
      <c r="S14" s="1"/>
      <c r="T14" s="1"/>
      <c r="U14" s="1"/>
      <c r="V14" s="1"/>
      <c r="W14" s="1"/>
      <c r="X14" s="1"/>
      <c r="Y14" s="1"/>
      <c r="Z14" s="1"/>
    </row>
    <row r="15" ht="12.75" customHeight="1" spans="1:26">
      <c r="A15" s="29" t="s">
        <v>645</v>
      </c>
      <c r="B15" s="30" t="s">
        <v>646</v>
      </c>
      <c r="C15" s="30" t="s">
        <v>647</v>
      </c>
      <c r="D15" s="30" t="s">
        <v>648</v>
      </c>
      <c r="E15" s="30" t="s">
        <v>385</v>
      </c>
      <c r="F15" s="41" t="s">
        <v>54</v>
      </c>
      <c r="G15" s="41"/>
      <c r="H15" s="41"/>
      <c r="I15" s="41"/>
      <c r="J15" s="41"/>
      <c r="K15" s="41"/>
      <c r="L15" s="41"/>
      <c r="M15" s="41"/>
      <c r="N15" s="41"/>
      <c r="O15" s="41"/>
      <c r="P15" s="1"/>
      <c r="Q15" s="35"/>
      <c r="R15" s="1"/>
      <c r="S15" s="1"/>
      <c r="T15" s="1"/>
      <c r="U15" s="1"/>
      <c r="V15" s="1"/>
      <c r="W15" s="1"/>
      <c r="X15" s="1"/>
      <c r="Y15" s="1"/>
      <c r="Z15" s="1"/>
    </row>
    <row r="16" ht="12.75" customHeight="1" spans="1:26">
      <c r="A16" s="29" t="s">
        <v>649</v>
      </c>
      <c r="B16" s="30" t="s">
        <v>650</v>
      </c>
      <c r="C16" s="30" t="s">
        <v>651</v>
      </c>
      <c r="D16" s="30" t="s">
        <v>652</v>
      </c>
      <c r="E16" s="30" t="s">
        <v>385</v>
      </c>
      <c r="F16" s="41" t="s">
        <v>54</v>
      </c>
      <c r="G16" s="41"/>
      <c r="H16" s="41"/>
      <c r="I16" s="41"/>
      <c r="J16" s="41"/>
      <c r="K16" s="41"/>
      <c r="L16" s="41"/>
      <c r="M16" s="41"/>
      <c r="N16" s="41"/>
      <c r="O16" s="41"/>
      <c r="P16" s="1"/>
      <c r="Q16" s="35"/>
      <c r="R16" s="1"/>
      <c r="S16" s="1"/>
      <c r="T16" s="1"/>
      <c r="U16" s="1"/>
      <c r="V16" s="1"/>
      <c r="W16" s="1"/>
      <c r="X16" s="1"/>
      <c r="Y16" s="1"/>
      <c r="Z16" s="1"/>
    </row>
    <row r="17" ht="12.75" customHeight="1" spans="1:26">
      <c r="A17" s="29" t="s">
        <v>653</v>
      </c>
      <c r="B17" s="30" t="s">
        <v>654</v>
      </c>
      <c r="C17" s="30" t="s">
        <v>655</v>
      </c>
      <c r="D17" s="30" t="s">
        <v>656</v>
      </c>
      <c r="E17" s="30" t="s">
        <v>657</v>
      </c>
      <c r="F17" s="41" t="s">
        <v>54</v>
      </c>
      <c r="G17" s="41"/>
      <c r="H17" s="41"/>
      <c r="I17" s="41"/>
      <c r="J17" s="41"/>
      <c r="K17" s="41"/>
      <c r="L17" s="41"/>
      <c r="M17" s="41"/>
      <c r="N17" s="41"/>
      <c r="O17" s="41"/>
      <c r="P17" s="1"/>
      <c r="Q17" s="35"/>
      <c r="R17" s="1"/>
      <c r="S17" s="1"/>
      <c r="T17" s="1"/>
      <c r="U17" s="1"/>
      <c r="V17" s="1"/>
      <c r="W17" s="1"/>
      <c r="X17" s="1"/>
      <c r="Y17" s="1"/>
      <c r="Z17" s="1"/>
    </row>
    <row r="18" ht="12.75" customHeight="1" spans="1:26">
      <c r="A18" s="29" t="s">
        <v>658</v>
      </c>
      <c r="B18" s="30" t="s">
        <v>659</v>
      </c>
      <c r="C18" s="30" t="s">
        <v>660</v>
      </c>
      <c r="D18" s="30" t="s">
        <v>661</v>
      </c>
      <c r="E18" s="30" t="s">
        <v>662</v>
      </c>
      <c r="F18" s="41" t="s">
        <v>54</v>
      </c>
      <c r="G18" s="41"/>
      <c r="H18" s="41"/>
      <c r="I18" s="41"/>
      <c r="J18" s="41"/>
      <c r="K18" s="41"/>
      <c r="L18" s="41"/>
      <c r="M18" s="41"/>
      <c r="N18" s="41"/>
      <c r="O18" s="41"/>
      <c r="P18" s="1"/>
      <c r="Q18" s="35"/>
      <c r="R18" s="1"/>
      <c r="S18" s="1"/>
      <c r="T18" s="1"/>
      <c r="U18" s="1"/>
      <c r="V18" s="1"/>
      <c r="W18" s="1"/>
      <c r="X18" s="1"/>
      <c r="Y18" s="1"/>
      <c r="Z18" s="1"/>
    </row>
    <row r="19" ht="12.75" customHeight="1" spans="1:26">
      <c r="A19" s="29" t="s">
        <v>663</v>
      </c>
      <c r="B19" s="29" t="s">
        <v>664</v>
      </c>
      <c r="C19" s="30" t="s">
        <v>665</v>
      </c>
      <c r="D19" s="30" t="s">
        <v>666</v>
      </c>
      <c r="E19" s="30" t="s">
        <v>385</v>
      </c>
      <c r="F19" s="41" t="s">
        <v>54</v>
      </c>
      <c r="G19" s="41"/>
      <c r="H19" s="41"/>
      <c r="I19" s="41"/>
      <c r="J19" s="41"/>
      <c r="K19" s="41"/>
      <c r="L19" s="41"/>
      <c r="M19" s="41"/>
      <c r="N19" s="41"/>
      <c r="O19" s="41"/>
      <c r="P19" s="1"/>
      <c r="Q19" s="35"/>
      <c r="R19" s="1"/>
      <c r="S19" s="1"/>
      <c r="T19" s="1"/>
      <c r="U19" s="1"/>
      <c r="V19" s="1"/>
      <c r="W19" s="1"/>
      <c r="X19" s="1"/>
      <c r="Y19" s="1"/>
      <c r="Z19" s="1"/>
    </row>
    <row r="20" ht="12.75" customHeight="1" spans="1:26">
      <c r="A20" s="29" t="s">
        <v>667</v>
      </c>
      <c r="B20" s="29" t="s">
        <v>668</v>
      </c>
      <c r="C20" s="30" t="s">
        <v>669</v>
      </c>
      <c r="D20" s="30" t="s">
        <v>670</v>
      </c>
      <c r="E20" s="30" t="s">
        <v>385</v>
      </c>
      <c r="F20" s="41" t="s">
        <v>54</v>
      </c>
      <c r="G20" s="41"/>
      <c r="H20" s="41"/>
      <c r="I20" s="41"/>
      <c r="J20" s="41"/>
      <c r="K20" s="41"/>
      <c r="L20" s="41"/>
      <c r="M20" s="41"/>
      <c r="N20" s="41"/>
      <c r="O20" s="41"/>
      <c r="P20" s="1"/>
      <c r="Q20" s="35"/>
      <c r="R20" s="1"/>
      <c r="S20" s="1"/>
      <c r="T20" s="1"/>
      <c r="U20" s="1"/>
      <c r="V20" s="1"/>
      <c r="W20" s="1"/>
      <c r="X20" s="1"/>
      <c r="Y20" s="1"/>
      <c r="Z20" s="1"/>
    </row>
    <row r="21" ht="12.75" customHeight="1" spans="1:26">
      <c r="A21" s="29" t="s">
        <v>671</v>
      </c>
      <c r="B21" s="29" t="s">
        <v>672</v>
      </c>
      <c r="C21" s="30" t="s">
        <v>673</v>
      </c>
      <c r="D21" s="30" t="s">
        <v>674</v>
      </c>
      <c r="E21" s="30" t="s">
        <v>675</v>
      </c>
      <c r="F21" s="41" t="s">
        <v>54</v>
      </c>
      <c r="G21" s="41"/>
      <c r="H21" s="41"/>
      <c r="I21" s="41"/>
      <c r="J21" s="41"/>
      <c r="K21" s="41"/>
      <c r="L21" s="41"/>
      <c r="M21" s="41"/>
      <c r="N21" s="41"/>
      <c r="O21" s="41"/>
      <c r="P21" s="1"/>
      <c r="Q21" s="35"/>
      <c r="R21" s="1"/>
      <c r="S21" s="1"/>
      <c r="T21" s="1"/>
      <c r="U21" s="1"/>
      <c r="V21" s="1"/>
      <c r="W21" s="1"/>
      <c r="X21" s="1"/>
      <c r="Y21" s="1"/>
      <c r="Z21" s="1"/>
    </row>
    <row r="22" ht="12.75" customHeight="1" spans="1:26">
      <c r="A22" s="29" t="s">
        <v>676</v>
      </c>
      <c r="B22" s="29" t="s">
        <v>677</v>
      </c>
      <c r="C22" s="30" t="s">
        <v>678</v>
      </c>
      <c r="D22" s="30" t="s">
        <v>679</v>
      </c>
      <c r="E22" s="30" t="s">
        <v>385</v>
      </c>
      <c r="F22" s="41" t="s">
        <v>54</v>
      </c>
      <c r="G22" s="41"/>
      <c r="H22" s="41"/>
      <c r="I22" s="41"/>
      <c r="J22" s="41"/>
      <c r="K22" s="41"/>
      <c r="L22" s="41"/>
      <c r="M22" s="41"/>
      <c r="N22" s="41"/>
      <c r="O22" s="41"/>
      <c r="P22" s="1"/>
      <c r="Q22" s="35"/>
      <c r="R22" s="1"/>
      <c r="S22" s="1"/>
      <c r="T22" s="1"/>
      <c r="U22" s="1"/>
      <c r="V22" s="1"/>
      <c r="W22" s="1"/>
      <c r="X22" s="1"/>
      <c r="Y22" s="1"/>
      <c r="Z22" s="1"/>
    </row>
    <row r="23" ht="12.75" customHeight="1" spans="1:26">
      <c r="A23" s="29" t="s">
        <v>680</v>
      </c>
      <c r="B23" s="29" t="s">
        <v>681</v>
      </c>
      <c r="C23" s="30" t="s">
        <v>682</v>
      </c>
      <c r="D23" s="30" t="s">
        <v>683</v>
      </c>
      <c r="E23" s="30" t="s">
        <v>684</v>
      </c>
      <c r="F23" s="41" t="s">
        <v>54</v>
      </c>
      <c r="G23" s="41"/>
      <c r="H23" s="41"/>
      <c r="I23" s="41"/>
      <c r="J23" s="41"/>
      <c r="K23" s="41"/>
      <c r="L23" s="41"/>
      <c r="M23" s="41"/>
      <c r="N23" s="41"/>
      <c r="O23" s="41"/>
      <c r="P23" s="1"/>
      <c r="Q23" s="35"/>
      <c r="R23" s="1"/>
      <c r="S23" s="1"/>
      <c r="T23" s="1"/>
      <c r="U23" s="1"/>
      <c r="V23" s="1"/>
      <c r="W23" s="1"/>
      <c r="X23" s="1"/>
      <c r="Y23" s="1"/>
      <c r="Z23" s="1"/>
    </row>
    <row r="24" ht="12.75" customHeight="1" spans="1:26">
      <c r="A24" s="29" t="s">
        <v>685</v>
      </c>
      <c r="B24" s="29" t="s">
        <v>686</v>
      </c>
      <c r="C24" s="30" t="s">
        <v>687</v>
      </c>
      <c r="D24" s="30" t="s">
        <v>688</v>
      </c>
      <c r="E24" s="30" t="s">
        <v>385</v>
      </c>
      <c r="F24" s="41" t="s">
        <v>54</v>
      </c>
      <c r="G24" s="41"/>
      <c r="H24" s="41"/>
      <c r="I24" s="41"/>
      <c r="J24" s="41"/>
      <c r="K24" s="41"/>
      <c r="L24" s="41"/>
      <c r="M24" s="41"/>
      <c r="N24" s="41"/>
      <c r="O24" s="41"/>
      <c r="P24" s="1"/>
      <c r="Q24" s="35"/>
      <c r="R24" s="1"/>
      <c r="S24" s="1"/>
      <c r="T24" s="1"/>
      <c r="U24" s="1"/>
      <c r="V24" s="1"/>
      <c r="W24" s="1"/>
      <c r="X24" s="1"/>
      <c r="Y24" s="1"/>
      <c r="Z24" s="1"/>
    </row>
    <row r="25" ht="12.75" customHeight="1" spans="1:26">
      <c r="A25" s="29" t="s">
        <v>689</v>
      </c>
      <c r="B25" s="29" t="s">
        <v>690</v>
      </c>
      <c r="C25" s="30" t="s">
        <v>691</v>
      </c>
      <c r="D25" s="30" t="s">
        <v>692</v>
      </c>
      <c r="E25" s="30" t="s">
        <v>385</v>
      </c>
      <c r="F25" s="41" t="s">
        <v>54</v>
      </c>
      <c r="G25" s="41"/>
      <c r="H25" s="41"/>
      <c r="I25" s="41"/>
      <c r="J25" s="41"/>
      <c r="K25" s="41"/>
      <c r="L25" s="41"/>
      <c r="M25" s="41"/>
      <c r="N25" s="41"/>
      <c r="O25" s="41"/>
      <c r="P25" s="1"/>
      <c r="Q25" s="35"/>
      <c r="R25" s="1"/>
      <c r="S25" s="1"/>
      <c r="T25" s="1"/>
      <c r="U25" s="1"/>
      <c r="V25" s="1"/>
      <c r="W25" s="1"/>
      <c r="X25" s="1"/>
      <c r="Y25" s="1"/>
      <c r="Z25" s="1"/>
    </row>
    <row r="26" ht="12.75" customHeight="1" spans="1:26">
      <c r="A26" s="29" t="s">
        <v>693</v>
      </c>
      <c r="B26" s="29" t="s">
        <v>694</v>
      </c>
      <c r="C26" s="30" t="s">
        <v>695</v>
      </c>
      <c r="D26" s="30" t="s">
        <v>696</v>
      </c>
      <c r="E26" s="30" t="s">
        <v>385</v>
      </c>
      <c r="F26" s="41" t="s">
        <v>54</v>
      </c>
      <c r="G26" s="41"/>
      <c r="H26" s="41"/>
      <c r="I26" s="41"/>
      <c r="J26" s="41"/>
      <c r="K26" s="41"/>
      <c r="L26" s="41"/>
      <c r="M26" s="41"/>
      <c r="N26" s="41"/>
      <c r="O26" s="41"/>
      <c r="P26" s="1"/>
      <c r="Q26" s="35"/>
      <c r="R26" s="1"/>
      <c r="S26" s="1"/>
      <c r="T26" s="1"/>
      <c r="U26" s="1"/>
      <c r="V26" s="1"/>
      <c r="W26" s="1"/>
      <c r="X26" s="1"/>
      <c r="Y26" s="1"/>
      <c r="Z26" s="1"/>
    </row>
    <row r="27" ht="12.75" customHeight="1" spans="1:26">
      <c r="A27" s="40" t="s">
        <v>697</v>
      </c>
      <c r="B27" s="1"/>
      <c r="C27" s="1"/>
      <c r="D27" s="1"/>
      <c r="E27" s="1"/>
      <c r="F27" s="41" t="s">
        <v>54</v>
      </c>
      <c r="G27" s="41"/>
      <c r="H27" s="41"/>
      <c r="I27" s="41"/>
      <c r="J27" s="41"/>
      <c r="K27" s="41"/>
      <c r="L27" s="41"/>
      <c r="M27" s="41"/>
      <c r="N27" s="41"/>
      <c r="O27" s="1"/>
      <c r="P27" s="1"/>
      <c r="Q27" s="35"/>
      <c r="R27" s="1"/>
      <c r="S27" s="1"/>
      <c r="T27" s="1"/>
      <c r="U27" s="1"/>
      <c r="V27" s="1"/>
      <c r="W27" s="1"/>
      <c r="X27" s="1"/>
      <c r="Y27" s="1"/>
      <c r="Z27" s="1"/>
    </row>
    <row r="28" ht="12.75" customHeight="1" spans="1:26">
      <c r="A28" s="29" t="s">
        <v>698</v>
      </c>
      <c r="B28" s="29" t="s">
        <v>699</v>
      </c>
      <c r="C28" s="30" t="s">
        <v>700</v>
      </c>
      <c r="D28" s="30" t="s">
        <v>701</v>
      </c>
      <c r="E28" s="30" t="s">
        <v>634</v>
      </c>
      <c r="F28" s="41" t="s">
        <v>54</v>
      </c>
      <c r="G28" s="41"/>
      <c r="H28" s="41"/>
      <c r="I28" s="41"/>
      <c r="J28" s="41"/>
      <c r="K28" s="41"/>
      <c r="L28" s="41"/>
      <c r="M28" s="41"/>
      <c r="N28" s="41"/>
      <c r="O28" s="1"/>
      <c r="P28" s="1"/>
      <c r="Q28" s="35"/>
      <c r="R28" s="1"/>
      <c r="S28" s="1"/>
      <c r="T28" s="1"/>
      <c r="U28" s="1"/>
      <c r="V28" s="1"/>
      <c r="W28" s="1"/>
      <c r="X28" s="1"/>
      <c r="Y28" s="1"/>
      <c r="Z28" s="1"/>
    </row>
    <row r="29" ht="12.75" customHeight="1" spans="1:26">
      <c r="A29" s="29" t="s">
        <v>702</v>
      </c>
      <c r="B29" s="29" t="s">
        <v>703</v>
      </c>
      <c r="C29" s="30" t="s">
        <v>704</v>
      </c>
      <c r="D29" s="30" t="s">
        <v>705</v>
      </c>
      <c r="E29" s="30" t="s">
        <v>639</v>
      </c>
      <c r="F29" s="41" t="s">
        <v>54</v>
      </c>
      <c r="G29" s="41"/>
      <c r="H29" s="41"/>
      <c r="I29" s="41"/>
      <c r="J29" s="41"/>
      <c r="K29" s="41"/>
      <c r="L29" s="41"/>
      <c r="M29" s="41"/>
      <c r="N29" s="41"/>
      <c r="O29" s="1"/>
      <c r="P29" s="1"/>
      <c r="Q29" s="35"/>
      <c r="R29" s="1"/>
      <c r="S29" s="1"/>
      <c r="T29" s="1"/>
      <c r="U29" s="1"/>
      <c r="V29" s="1"/>
      <c r="W29" s="1"/>
      <c r="X29" s="1"/>
      <c r="Y29" s="1"/>
      <c r="Z29" s="1"/>
    </row>
    <row r="30" ht="12.75" customHeight="1" spans="1:26">
      <c r="A30" s="29" t="s">
        <v>706</v>
      </c>
      <c r="B30" s="29" t="s">
        <v>707</v>
      </c>
      <c r="C30" s="30" t="s">
        <v>708</v>
      </c>
      <c r="D30" s="30" t="s">
        <v>709</v>
      </c>
      <c r="E30" s="30" t="s">
        <v>385</v>
      </c>
      <c r="F30" s="41" t="s">
        <v>54</v>
      </c>
      <c r="G30" s="41"/>
      <c r="H30" s="41"/>
      <c r="I30" s="41"/>
      <c r="J30" s="41"/>
      <c r="K30" s="41"/>
      <c r="L30" s="41"/>
      <c r="M30" s="41"/>
      <c r="N30" s="41"/>
      <c r="O30" s="1"/>
      <c r="P30" s="1"/>
      <c r="Q30" s="35"/>
      <c r="R30" s="1"/>
      <c r="S30" s="1"/>
      <c r="T30" s="1"/>
      <c r="U30" s="1"/>
      <c r="V30" s="1"/>
      <c r="W30" s="1"/>
      <c r="X30" s="1"/>
      <c r="Y30" s="1"/>
      <c r="Z30" s="1"/>
    </row>
    <row r="31" ht="12.75" customHeight="1" spans="1:26">
      <c r="A31" s="29" t="s">
        <v>710</v>
      </c>
      <c r="B31" s="29" t="s">
        <v>711</v>
      </c>
      <c r="C31" s="30" t="s">
        <v>712</v>
      </c>
      <c r="D31" s="30" t="s">
        <v>713</v>
      </c>
      <c r="E31" s="30" t="s">
        <v>714</v>
      </c>
      <c r="F31" s="41" t="s">
        <v>54</v>
      </c>
      <c r="G31" s="41"/>
      <c r="H31" s="41"/>
      <c r="I31" s="41"/>
      <c r="J31" s="41"/>
      <c r="K31" s="41"/>
      <c r="L31" s="41"/>
      <c r="M31" s="41"/>
      <c r="N31" s="41"/>
      <c r="O31" s="1"/>
      <c r="P31" s="1"/>
      <c r="Q31" s="35"/>
      <c r="R31" s="1"/>
      <c r="S31" s="1"/>
      <c r="T31" s="1"/>
      <c r="U31" s="1"/>
      <c r="V31" s="1"/>
      <c r="W31" s="1"/>
      <c r="X31" s="1"/>
      <c r="Y31" s="1"/>
      <c r="Z31" s="1"/>
    </row>
    <row r="32" ht="12.75" customHeight="1" spans="1:26">
      <c r="A32" s="29" t="s">
        <v>715</v>
      </c>
      <c r="B32" s="29" t="s">
        <v>716</v>
      </c>
      <c r="C32" s="30" t="s">
        <v>717</v>
      </c>
      <c r="D32" s="30" t="s">
        <v>718</v>
      </c>
      <c r="E32" s="30" t="s">
        <v>719</v>
      </c>
      <c r="F32" s="41" t="s">
        <v>54</v>
      </c>
      <c r="G32" s="41"/>
      <c r="H32" s="41"/>
      <c r="I32" s="41"/>
      <c r="J32" s="41"/>
      <c r="K32" s="41"/>
      <c r="L32" s="41"/>
      <c r="M32" s="41"/>
      <c r="N32" s="41"/>
      <c r="O32" s="1"/>
      <c r="P32" s="1"/>
      <c r="Q32" s="35"/>
      <c r="R32" s="1"/>
      <c r="S32" s="1"/>
      <c r="T32" s="1"/>
      <c r="U32" s="1"/>
      <c r="V32" s="1"/>
      <c r="W32" s="1"/>
      <c r="X32" s="1"/>
      <c r="Y32" s="1"/>
      <c r="Z32" s="1"/>
    </row>
    <row r="33" ht="12.75" customHeight="1" spans="1:26">
      <c r="A33" s="29" t="s">
        <v>720</v>
      </c>
      <c r="B33" s="29" t="s">
        <v>721</v>
      </c>
      <c r="C33" s="30" t="s">
        <v>722</v>
      </c>
      <c r="D33" s="30" t="s">
        <v>723</v>
      </c>
      <c r="E33" s="30" t="s">
        <v>724</v>
      </c>
      <c r="F33" s="41" t="s">
        <v>54</v>
      </c>
      <c r="G33" s="41"/>
      <c r="H33" s="41"/>
      <c r="I33" s="41"/>
      <c r="J33" s="41"/>
      <c r="K33" s="41"/>
      <c r="L33" s="41"/>
      <c r="M33" s="41"/>
      <c r="N33" s="41"/>
      <c r="O33" s="1"/>
      <c r="P33" s="1"/>
      <c r="Q33" s="35"/>
      <c r="R33" s="1"/>
      <c r="S33" s="1"/>
      <c r="T33" s="1"/>
      <c r="U33" s="1"/>
      <c r="V33" s="1"/>
      <c r="W33" s="1"/>
      <c r="X33" s="1"/>
      <c r="Y33" s="1"/>
      <c r="Z33" s="1"/>
    </row>
    <row r="34" ht="12.75" customHeight="1" spans="1:26">
      <c r="A34" s="29" t="s">
        <v>725</v>
      </c>
      <c r="B34" s="29" t="s">
        <v>726</v>
      </c>
      <c r="C34" s="30" t="s">
        <v>727</v>
      </c>
      <c r="D34" s="30" t="s">
        <v>728</v>
      </c>
      <c r="E34" s="30" t="s">
        <v>724</v>
      </c>
      <c r="F34" s="41" t="s">
        <v>54</v>
      </c>
      <c r="G34" s="41"/>
      <c r="H34" s="41"/>
      <c r="I34" s="41"/>
      <c r="J34" s="41"/>
      <c r="K34" s="41"/>
      <c r="L34" s="41"/>
      <c r="M34" s="41"/>
      <c r="N34" s="41"/>
      <c r="O34" s="1"/>
      <c r="P34" s="1"/>
      <c r="Q34" s="35"/>
      <c r="R34" s="1"/>
      <c r="S34" s="1"/>
      <c r="T34" s="1"/>
      <c r="U34" s="1"/>
      <c r="V34" s="1"/>
      <c r="W34" s="1"/>
      <c r="X34" s="1"/>
      <c r="Y34" s="1"/>
      <c r="Z34" s="1"/>
    </row>
    <row r="35" ht="12.75" customHeight="1" spans="1:26">
      <c r="A35" s="29" t="s">
        <v>729</v>
      </c>
      <c r="B35" s="29" t="s">
        <v>730</v>
      </c>
      <c r="C35" s="30" t="s">
        <v>731</v>
      </c>
      <c r="D35" s="30" t="s">
        <v>732</v>
      </c>
      <c r="E35" s="30" t="s">
        <v>385</v>
      </c>
      <c r="F35" s="41" t="s">
        <v>54</v>
      </c>
      <c r="G35" s="41"/>
      <c r="H35" s="41"/>
      <c r="I35" s="41"/>
      <c r="J35" s="41"/>
      <c r="K35" s="41"/>
      <c r="L35" s="41"/>
      <c r="M35" s="41"/>
      <c r="N35" s="41"/>
      <c r="O35" s="1"/>
      <c r="P35" s="1"/>
      <c r="Q35" s="35"/>
      <c r="R35" s="1"/>
      <c r="S35" s="1"/>
      <c r="T35" s="1"/>
      <c r="U35" s="1"/>
      <c r="V35" s="1"/>
      <c r="W35" s="1"/>
      <c r="X35" s="1"/>
      <c r="Y35" s="1"/>
      <c r="Z35" s="1"/>
    </row>
    <row r="36" ht="12.75" customHeight="1" spans="1:26">
      <c r="A36" s="29" t="s">
        <v>733</v>
      </c>
      <c r="B36" s="29" t="s">
        <v>734</v>
      </c>
      <c r="C36" s="30" t="s">
        <v>735</v>
      </c>
      <c r="D36" s="30" t="s">
        <v>736</v>
      </c>
      <c r="E36" s="30" t="s">
        <v>385</v>
      </c>
      <c r="F36" s="41" t="s">
        <v>54</v>
      </c>
      <c r="G36" s="41"/>
      <c r="H36" s="41"/>
      <c r="I36" s="41"/>
      <c r="J36" s="41"/>
      <c r="K36" s="41"/>
      <c r="L36" s="41"/>
      <c r="M36" s="41"/>
      <c r="N36" s="41"/>
      <c r="O36" s="1"/>
      <c r="P36" s="1"/>
      <c r="Q36" s="35"/>
      <c r="R36" s="1"/>
      <c r="S36" s="1"/>
      <c r="T36" s="1"/>
      <c r="U36" s="1"/>
      <c r="V36" s="1"/>
      <c r="W36" s="1"/>
      <c r="X36" s="1"/>
      <c r="Y36" s="1"/>
      <c r="Z36" s="1"/>
    </row>
    <row r="37" ht="12.75" customHeight="1" spans="1:26">
      <c r="A37" s="29" t="s">
        <v>737</v>
      </c>
      <c r="B37" s="29" t="s">
        <v>738</v>
      </c>
      <c r="C37" s="30" t="s">
        <v>739</v>
      </c>
      <c r="D37" s="30" t="s">
        <v>740</v>
      </c>
      <c r="E37" s="30" t="s">
        <v>741</v>
      </c>
      <c r="F37" s="41" t="s">
        <v>54</v>
      </c>
      <c r="G37" s="41"/>
      <c r="H37" s="41"/>
      <c r="I37" s="41"/>
      <c r="J37" s="41"/>
      <c r="K37" s="41"/>
      <c r="L37" s="41"/>
      <c r="M37" s="41"/>
      <c r="N37" s="41"/>
      <c r="O37" s="1"/>
      <c r="P37" s="1"/>
      <c r="Q37" s="35"/>
      <c r="R37" s="1"/>
      <c r="S37" s="1"/>
      <c r="T37" s="1"/>
      <c r="U37" s="1"/>
      <c r="V37" s="1"/>
      <c r="W37" s="1"/>
      <c r="X37" s="1"/>
      <c r="Y37" s="1"/>
      <c r="Z37" s="1"/>
    </row>
    <row r="38" ht="12.75" customHeight="1" spans="1:26">
      <c r="A38" s="40" t="s">
        <v>742</v>
      </c>
      <c r="B38" s="1"/>
      <c r="C38" s="1"/>
      <c r="D38" s="1"/>
      <c r="E38" s="1"/>
      <c r="F38" s="41" t="s">
        <v>54</v>
      </c>
      <c r="G38" s="41"/>
      <c r="H38" s="41"/>
      <c r="I38" s="41"/>
      <c r="J38" s="41"/>
      <c r="K38" s="41"/>
      <c r="L38" s="41"/>
      <c r="M38" s="41"/>
      <c r="N38" s="41"/>
      <c r="O38" s="1"/>
      <c r="P38" s="1"/>
      <c r="Q38" s="35"/>
      <c r="R38" s="1"/>
      <c r="S38" s="1"/>
      <c r="T38" s="1"/>
      <c r="U38" s="1"/>
      <c r="V38" s="1"/>
      <c r="W38" s="1"/>
      <c r="X38" s="1"/>
      <c r="Y38" s="1"/>
      <c r="Z38" s="1"/>
    </row>
    <row r="39" ht="12.75" customHeight="1" spans="1:26">
      <c r="A39" s="29" t="s">
        <v>743</v>
      </c>
      <c r="B39" s="29" t="s">
        <v>744</v>
      </c>
      <c r="C39" s="30" t="s">
        <v>745</v>
      </c>
      <c r="D39" s="30" t="s">
        <v>746</v>
      </c>
      <c r="E39" s="30" t="s">
        <v>385</v>
      </c>
      <c r="F39" s="41" t="s">
        <v>54</v>
      </c>
      <c r="G39" s="41"/>
      <c r="H39" s="41"/>
      <c r="I39" s="41"/>
      <c r="J39" s="41"/>
      <c r="K39" s="41"/>
      <c r="L39" s="41"/>
      <c r="M39" s="41"/>
      <c r="N39" s="41"/>
      <c r="O39" s="1"/>
      <c r="P39" s="1"/>
      <c r="Q39" s="35"/>
      <c r="R39" s="1"/>
      <c r="S39" s="1"/>
      <c r="T39" s="1"/>
      <c r="U39" s="1"/>
      <c r="V39" s="1"/>
      <c r="W39" s="1"/>
      <c r="X39" s="1"/>
      <c r="Y39" s="1"/>
      <c r="Z39" s="1"/>
    </row>
    <row r="40" ht="12.75" customHeight="1" spans="1:26">
      <c r="A40" s="29" t="s">
        <v>747</v>
      </c>
      <c r="B40" s="29" t="s">
        <v>748</v>
      </c>
      <c r="C40" s="30" t="s">
        <v>749</v>
      </c>
      <c r="D40" s="30" t="s">
        <v>750</v>
      </c>
      <c r="E40" s="30" t="s">
        <v>385</v>
      </c>
      <c r="F40" s="41" t="s">
        <v>54</v>
      </c>
      <c r="G40" s="41"/>
      <c r="H40" s="41"/>
      <c r="I40" s="41"/>
      <c r="J40" s="41"/>
      <c r="K40" s="41"/>
      <c r="L40" s="41"/>
      <c r="M40" s="41"/>
      <c r="N40" s="41"/>
      <c r="O40" s="1"/>
      <c r="P40" s="1"/>
      <c r="Q40" s="35"/>
      <c r="R40" s="1"/>
      <c r="S40" s="1"/>
      <c r="T40" s="1"/>
      <c r="U40" s="1"/>
      <c r="V40" s="1"/>
      <c r="W40" s="1"/>
      <c r="X40" s="1"/>
      <c r="Y40" s="1"/>
      <c r="Z40" s="1"/>
    </row>
    <row r="41" ht="12.75" customHeight="1" spans="1:26">
      <c r="A41" s="29" t="s">
        <v>751</v>
      </c>
      <c r="B41" s="29" t="s">
        <v>752</v>
      </c>
      <c r="C41" s="30" t="s">
        <v>753</v>
      </c>
      <c r="D41" s="30" t="s">
        <v>754</v>
      </c>
      <c r="E41" s="30" t="s">
        <v>755</v>
      </c>
      <c r="F41" s="41" t="s">
        <v>54</v>
      </c>
      <c r="G41" s="41"/>
      <c r="H41" s="41"/>
      <c r="I41" s="41"/>
      <c r="J41" s="41"/>
      <c r="K41" s="41"/>
      <c r="L41" s="41"/>
      <c r="M41" s="41"/>
      <c r="N41" s="41"/>
      <c r="O41" s="1"/>
      <c r="P41" s="1"/>
      <c r="Q41" s="35"/>
      <c r="R41" s="1"/>
      <c r="S41" s="1"/>
      <c r="T41" s="1"/>
      <c r="U41" s="1"/>
      <c r="V41" s="1"/>
      <c r="W41" s="1"/>
      <c r="X41" s="1"/>
      <c r="Y41" s="1"/>
      <c r="Z41" s="1"/>
    </row>
    <row r="42" ht="12.75" customHeight="1" spans="1:26">
      <c r="A42" s="29" t="s">
        <v>756</v>
      </c>
      <c r="B42" s="29" t="s">
        <v>757</v>
      </c>
      <c r="C42" s="30" t="s">
        <v>758</v>
      </c>
      <c r="D42" s="30" t="s">
        <v>759</v>
      </c>
      <c r="E42" s="30" t="s">
        <v>385</v>
      </c>
      <c r="F42" s="41" t="s">
        <v>54</v>
      </c>
      <c r="G42" s="41"/>
      <c r="H42" s="41"/>
      <c r="I42" s="41"/>
      <c r="J42" s="41"/>
      <c r="K42" s="41"/>
      <c r="L42" s="41"/>
      <c r="M42" s="41"/>
      <c r="N42" s="41"/>
      <c r="O42" s="1"/>
      <c r="P42" s="1"/>
      <c r="Q42" s="35"/>
      <c r="R42" s="1"/>
      <c r="S42" s="1"/>
      <c r="T42" s="1"/>
      <c r="U42" s="1"/>
      <c r="V42" s="1"/>
      <c r="W42" s="1"/>
      <c r="X42" s="1"/>
      <c r="Y42" s="1"/>
      <c r="Z42" s="1"/>
    </row>
    <row r="43" ht="12.75" customHeight="1" spans="1:26">
      <c r="A43" s="29" t="s">
        <v>760</v>
      </c>
      <c r="B43" s="29" t="s">
        <v>761</v>
      </c>
      <c r="C43" s="30" t="s">
        <v>762</v>
      </c>
      <c r="D43" s="30" t="s">
        <v>763</v>
      </c>
      <c r="E43" s="30" t="s">
        <v>385</v>
      </c>
      <c r="F43" s="41" t="s">
        <v>54</v>
      </c>
      <c r="G43" s="41"/>
      <c r="H43" s="41"/>
      <c r="I43" s="41"/>
      <c r="J43" s="41"/>
      <c r="K43" s="41"/>
      <c r="L43" s="41"/>
      <c r="M43" s="41"/>
      <c r="N43" s="41"/>
      <c r="O43" s="1"/>
      <c r="P43" s="1"/>
      <c r="Q43" s="35"/>
      <c r="R43" s="1"/>
      <c r="S43" s="1"/>
      <c r="T43" s="1"/>
      <c r="U43" s="1"/>
      <c r="V43" s="1"/>
      <c r="W43" s="1"/>
      <c r="X43" s="1"/>
      <c r="Y43" s="1"/>
      <c r="Z43" s="1"/>
    </row>
    <row r="44" ht="12.75" customHeight="1" spans="1:26">
      <c r="A44" s="29" t="s">
        <v>764</v>
      </c>
      <c r="B44" s="29" t="s">
        <v>765</v>
      </c>
      <c r="C44" s="30" t="s">
        <v>766</v>
      </c>
      <c r="D44" s="30" t="s">
        <v>767</v>
      </c>
      <c r="E44" s="30" t="s">
        <v>768</v>
      </c>
      <c r="F44" s="41" t="s">
        <v>54</v>
      </c>
      <c r="G44" s="41"/>
      <c r="H44" s="41"/>
      <c r="I44" s="41"/>
      <c r="J44" s="41"/>
      <c r="K44" s="41"/>
      <c r="L44" s="41"/>
      <c r="M44" s="41"/>
      <c r="N44" s="41"/>
      <c r="O44" s="1"/>
      <c r="P44" s="1"/>
      <c r="Q44" s="35"/>
      <c r="R44" s="1"/>
      <c r="S44" s="1"/>
      <c r="T44" s="1"/>
      <c r="U44" s="1"/>
      <c r="V44" s="1"/>
      <c r="W44" s="1"/>
      <c r="X44" s="1"/>
      <c r="Y44" s="1"/>
      <c r="Z44" s="1"/>
    </row>
    <row r="45" ht="12.75" customHeight="1" spans="1:26">
      <c r="A45" s="29" t="s">
        <v>769</v>
      </c>
      <c r="B45" s="29" t="s">
        <v>770</v>
      </c>
      <c r="C45" s="30" t="s">
        <v>771</v>
      </c>
      <c r="D45" s="30" t="s">
        <v>772</v>
      </c>
      <c r="E45" s="30" t="s">
        <v>773</v>
      </c>
      <c r="F45" s="41" t="s">
        <v>54</v>
      </c>
      <c r="G45" s="41"/>
      <c r="H45" s="41"/>
      <c r="I45" s="41"/>
      <c r="J45" s="41"/>
      <c r="K45" s="41"/>
      <c r="L45" s="41"/>
      <c r="M45" s="41"/>
      <c r="N45" s="41"/>
      <c r="O45" s="1"/>
      <c r="P45" s="1"/>
      <c r="Q45" s="35"/>
      <c r="R45" s="1"/>
      <c r="S45" s="1"/>
      <c r="T45" s="1"/>
      <c r="U45" s="1"/>
      <c r="V45" s="1"/>
      <c r="W45" s="1"/>
      <c r="X45" s="1"/>
      <c r="Y45" s="1"/>
      <c r="Z45" s="1"/>
    </row>
    <row r="46" ht="12.75" customHeight="1" spans="1:26">
      <c r="A46" s="29" t="s">
        <v>774</v>
      </c>
      <c r="B46" s="29" t="s">
        <v>775</v>
      </c>
      <c r="C46" s="30" t="s">
        <v>776</v>
      </c>
      <c r="D46" s="30" t="s">
        <v>777</v>
      </c>
      <c r="E46" s="30" t="s">
        <v>385</v>
      </c>
      <c r="F46" s="41" t="s">
        <v>54</v>
      </c>
      <c r="G46" s="41"/>
      <c r="H46" s="41"/>
      <c r="I46" s="41"/>
      <c r="J46" s="41"/>
      <c r="K46" s="41"/>
      <c r="L46" s="41"/>
      <c r="M46" s="41"/>
      <c r="N46" s="41"/>
      <c r="O46" s="1"/>
      <c r="P46" s="1"/>
      <c r="Q46" s="35"/>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35"/>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35"/>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35"/>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35"/>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35"/>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35"/>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35"/>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35"/>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35"/>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35"/>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35"/>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35"/>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35"/>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35"/>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35"/>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35"/>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35"/>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35"/>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35"/>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35"/>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35"/>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35"/>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35"/>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35"/>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35"/>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35"/>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35"/>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35"/>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35"/>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35"/>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35"/>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35"/>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35"/>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35"/>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35"/>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35"/>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35"/>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35"/>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35"/>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35"/>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35"/>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35"/>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35"/>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35"/>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35"/>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35"/>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35"/>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35"/>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35"/>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35"/>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35"/>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35"/>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35"/>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35"/>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35"/>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35"/>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35"/>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35"/>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35"/>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35"/>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35"/>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35"/>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35"/>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35"/>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35"/>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35"/>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35"/>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35"/>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35"/>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35"/>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35"/>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35"/>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35"/>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35"/>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35"/>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35"/>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35"/>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35"/>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35"/>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35"/>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35"/>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35"/>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35"/>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35"/>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35"/>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35"/>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35"/>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35"/>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35"/>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35"/>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35"/>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35"/>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35"/>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35"/>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35"/>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35"/>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35"/>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35"/>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35"/>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35"/>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35"/>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35"/>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35"/>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35"/>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35"/>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35"/>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35"/>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35"/>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35"/>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35"/>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35"/>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35"/>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35"/>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35"/>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35"/>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35"/>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35"/>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35"/>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35"/>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35"/>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35"/>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35"/>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35"/>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35"/>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35"/>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35"/>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35"/>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35"/>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35"/>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35"/>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35"/>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35"/>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35"/>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35"/>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35"/>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35"/>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35"/>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35"/>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35"/>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35"/>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35"/>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35"/>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35"/>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35"/>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35"/>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35"/>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35"/>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35"/>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35"/>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35"/>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35"/>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35"/>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35"/>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35"/>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35"/>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35"/>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35"/>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35"/>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35"/>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35"/>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35"/>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35"/>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35"/>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35"/>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35"/>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35"/>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35"/>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35"/>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35"/>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35"/>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35"/>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35"/>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35"/>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35"/>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35"/>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35"/>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35"/>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35"/>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35"/>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35"/>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35"/>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35"/>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35"/>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35"/>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35"/>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35"/>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35"/>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35"/>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35"/>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35"/>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35"/>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35"/>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35"/>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35"/>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35"/>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35"/>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35"/>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35"/>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35"/>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35"/>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35"/>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35"/>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35"/>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35"/>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35"/>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35"/>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35"/>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35"/>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35"/>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35"/>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35"/>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35"/>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35"/>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35"/>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35"/>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35"/>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35"/>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35"/>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35"/>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35"/>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35"/>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35"/>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35"/>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35"/>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35"/>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35"/>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35"/>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35"/>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35"/>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35"/>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35"/>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35"/>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35"/>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35"/>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35"/>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35"/>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35"/>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35"/>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35"/>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35"/>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35"/>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35"/>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35"/>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35"/>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35"/>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35"/>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35"/>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35"/>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35"/>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35"/>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35"/>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35"/>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35"/>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35"/>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35"/>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35"/>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35"/>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35"/>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35"/>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35"/>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35"/>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35"/>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35"/>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35"/>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35"/>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35"/>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35"/>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35"/>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35"/>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35"/>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35"/>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35"/>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35"/>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35"/>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35"/>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35"/>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35"/>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35"/>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35"/>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35"/>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35"/>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35"/>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35"/>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35"/>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35"/>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35"/>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35"/>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35"/>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35"/>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35"/>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35"/>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35"/>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35"/>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35"/>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35"/>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35"/>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35"/>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35"/>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35"/>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35"/>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35"/>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35"/>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35"/>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35"/>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35"/>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35"/>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35"/>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35"/>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35"/>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35"/>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35"/>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35"/>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35"/>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35"/>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35"/>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35"/>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35"/>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35"/>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35"/>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35"/>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35"/>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35"/>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35"/>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35"/>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35"/>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35"/>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35"/>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35"/>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35"/>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35"/>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35"/>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35"/>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35"/>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35"/>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35"/>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35"/>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35"/>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35"/>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35"/>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35"/>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35"/>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35"/>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35"/>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35"/>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35"/>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35"/>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35"/>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35"/>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35"/>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35"/>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35"/>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35"/>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35"/>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35"/>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35"/>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35"/>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35"/>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35"/>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35"/>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35"/>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35"/>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35"/>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35"/>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35"/>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35"/>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35"/>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35"/>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35"/>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35"/>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35"/>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35"/>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35"/>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35"/>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35"/>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35"/>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35"/>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35"/>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35"/>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35"/>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35"/>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35"/>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35"/>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35"/>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35"/>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35"/>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35"/>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35"/>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35"/>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35"/>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35"/>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35"/>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35"/>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35"/>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35"/>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35"/>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35"/>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35"/>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35"/>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35"/>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35"/>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35"/>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35"/>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35"/>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35"/>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35"/>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35"/>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35"/>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35"/>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35"/>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35"/>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35"/>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35"/>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35"/>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35"/>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35"/>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35"/>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35"/>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35"/>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35"/>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35"/>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35"/>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35"/>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35"/>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35"/>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35"/>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35"/>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35"/>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35"/>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35"/>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35"/>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35"/>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35"/>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35"/>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35"/>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35"/>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35"/>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35"/>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35"/>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35"/>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35"/>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35"/>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35"/>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35"/>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35"/>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35"/>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35"/>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35"/>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35"/>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35"/>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35"/>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35"/>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35"/>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35"/>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35"/>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35"/>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35"/>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35"/>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35"/>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35"/>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35"/>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35"/>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35"/>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35"/>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35"/>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35"/>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35"/>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35"/>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35"/>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35"/>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35"/>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35"/>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35"/>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35"/>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35"/>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35"/>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35"/>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35"/>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35"/>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35"/>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35"/>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35"/>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35"/>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35"/>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35"/>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35"/>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35"/>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35"/>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35"/>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35"/>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35"/>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35"/>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35"/>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35"/>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35"/>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35"/>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35"/>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35"/>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35"/>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35"/>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35"/>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35"/>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35"/>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35"/>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35"/>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35"/>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35"/>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35"/>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35"/>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35"/>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35"/>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35"/>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35"/>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35"/>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35"/>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35"/>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35"/>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35"/>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35"/>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35"/>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35"/>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35"/>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35"/>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35"/>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35"/>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35"/>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35"/>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35"/>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35"/>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35"/>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35"/>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35"/>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35"/>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35"/>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35"/>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35"/>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35"/>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35"/>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35"/>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35"/>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35"/>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35"/>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35"/>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35"/>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35"/>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35"/>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35"/>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35"/>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35"/>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35"/>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35"/>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35"/>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35"/>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35"/>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35"/>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35"/>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35"/>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35"/>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35"/>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35"/>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35"/>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35"/>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35"/>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35"/>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35"/>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35"/>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35"/>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35"/>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35"/>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35"/>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35"/>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35"/>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35"/>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35"/>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35"/>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35"/>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35"/>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35"/>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35"/>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35"/>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35"/>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35"/>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35"/>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35"/>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35"/>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35"/>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35"/>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35"/>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35"/>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35"/>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35"/>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35"/>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35"/>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35"/>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35"/>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35"/>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35"/>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35"/>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35"/>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35"/>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35"/>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35"/>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35"/>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35"/>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35"/>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35"/>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35"/>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35"/>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35"/>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35"/>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35"/>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35"/>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35"/>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35"/>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35"/>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35"/>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35"/>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35"/>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35"/>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35"/>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35"/>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35"/>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35"/>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35"/>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35"/>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35"/>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35"/>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35"/>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35"/>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35"/>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35"/>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35"/>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35"/>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35"/>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35"/>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35"/>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35"/>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35"/>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35"/>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35"/>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35"/>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35"/>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35"/>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35"/>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35"/>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35"/>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35"/>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35"/>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35"/>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35"/>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35"/>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35"/>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35"/>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35"/>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35"/>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35"/>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35"/>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35"/>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35"/>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35"/>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35"/>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35"/>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35"/>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35"/>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35"/>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35"/>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35"/>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35"/>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35"/>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35"/>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35"/>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35"/>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35"/>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35"/>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35"/>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35"/>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35"/>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35"/>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35"/>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35"/>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35"/>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35"/>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35"/>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35"/>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35"/>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35"/>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35"/>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35"/>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35"/>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35"/>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35"/>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35"/>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35"/>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35"/>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35"/>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35"/>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35"/>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35"/>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35"/>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35"/>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35"/>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35"/>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35"/>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35"/>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35"/>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35"/>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35"/>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35"/>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35"/>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35"/>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35"/>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35"/>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35"/>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35"/>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35"/>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35"/>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35"/>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35"/>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35"/>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35"/>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35"/>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35"/>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35"/>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35"/>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35"/>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35"/>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35"/>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35"/>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35"/>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35"/>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35"/>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35"/>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35"/>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35"/>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35"/>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35"/>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35"/>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35"/>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35"/>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35"/>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35"/>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35"/>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35"/>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35"/>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35"/>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35"/>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35"/>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35"/>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35"/>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35"/>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35"/>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35"/>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35"/>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35"/>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35"/>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35"/>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35"/>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35"/>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35"/>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35"/>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35"/>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35"/>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35"/>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35"/>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35"/>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35"/>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35"/>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35"/>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35"/>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35"/>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35"/>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35"/>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35"/>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35"/>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35"/>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35"/>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35"/>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35"/>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35"/>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35"/>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35"/>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35"/>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35"/>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35"/>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35"/>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35"/>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35"/>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35"/>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35"/>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35"/>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35"/>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35"/>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35"/>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35"/>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35"/>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35"/>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35"/>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35"/>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35"/>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35"/>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35"/>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35"/>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35"/>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35"/>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35"/>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35"/>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35"/>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35"/>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35"/>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35"/>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35"/>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35"/>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35"/>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35"/>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35"/>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35"/>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35"/>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35"/>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35"/>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35"/>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35"/>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35"/>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35"/>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35"/>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35"/>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35"/>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35"/>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35"/>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35"/>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35"/>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35"/>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35"/>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35"/>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35"/>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35"/>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35"/>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35"/>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35"/>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35"/>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35"/>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35"/>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35"/>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35"/>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35"/>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35"/>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35"/>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35"/>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35"/>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35"/>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35"/>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35"/>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35"/>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35"/>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35"/>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35"/>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35"/>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35"/>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35"/>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35"/>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35"/>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35"/>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35"/>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35"/>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35"/>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35"/>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35"/>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35"/>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35"/>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35"/>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35"/>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35"/>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35"/>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35"/>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35"/>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35"/>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35"/>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35"/>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35"/>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35"/>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35"/>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35"/>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35"/>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35"/>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35"/>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35"/>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35"/>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35"/>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35"/>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35"/>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35"/>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35"/>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35"/>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35"/>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35"/>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35"/>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35"/>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35"/>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35"/>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35"/>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35"/>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35"/>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35"/>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35"/>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35"/>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35"/>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35"/>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35"/>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35"/>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35"/>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35"/>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35"/>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35"/>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35"/>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35"/>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35"/>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35"/>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35"/>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35"/>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35"/>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35"/>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35"/>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35"/>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35"/>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35"/>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35"/>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35"/>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35"/>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35"/>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35"/>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35"/>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35"/>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35"/>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35"/>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35"/>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35"/>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35"/>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35"/>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35"/>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35"/>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35"/>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35"/>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35"/>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35"/>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35"/>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35"/>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35"/>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35"/>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35"/>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35"/>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35"/>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35"/>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35"/>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35"/>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35"/>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35"/>
      <c r="R1000" s="1"/>
      <c r="S1000" s="1"/>
      <c r="T1000" s="1"/>
      <c r="U1000" s="1"/>
      <c r="V1000" s="1"/>
      <c r="W1000" s="1"/>
      <c r="X1000" s="1"/>
      <c r="Y1000" s="1"/>
      <c r="Z1000" s="1"/>
    </row>
  </sheetData>
  <mergeCells count="3">
    <mergeCell ref="B2:E2"/>
    <mergeCell ref="B3:E3"/>
    <mergeCell ref="B4:E4"/>
  </mergeCells>
  <dataValidations count="1">
    <dataValidation type="list" allowBlank="1" showErrorMessage="1" sqref="G9 J9 M9 F11:F46 G2:G3 G47:G142 I11:I46 J2:J3 J47:J142 L11:L46 M2:M3 M47:M142">
      <formula1>$R$2:$R$5</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8"/>
  <sheetViews>
    <sheetView workbookViewId="0">
      <pane ySplit="10" topLeftCell="A11" activePane="bottomLeft" state="frozen"/>
      <selection/>
      <selection pane="bottomLeft" activeCell="B12" sqref="B12"/>
    </sheetView>
  </sheetViews>
  <sheetFormatPr defaultColWidth="12.6296296296296" defaultRowHeight="15" customHeight="1"/>
  <cols>
    <col min="1" max="1" width="17" customWidth="1"/>
    <col min="2" max="2" width="34.5" customWidth="1"/>
    <col min="3" max="3" width="33.3796296296296" customWidth="1"/>
    <col min="4" max="4" width="34.6296296296296" customWidth="1"/>
    <col min="5" max="5" width="28.3796296296296" customWidth="1"/>
    <col min="6" max="6" width="9.37962962962963" customWidth="1"/>
    <col min="7" max="7" width="10.6296296296296" customWidth="1" outlineLevel="1"/>
    <col min="8" max="8" width="7" customWidth="1" outlineLevel="1"/>
    <col min="9" max="9" width="9.37962962962963" customWidth="1"/>
    <col min="10" max="10" width="10.6296296296296" customWidth="1" outlineLevel="1"/>
    <col min="11" max="11" width="7" customWidth="1" outlineLevel="1"/>
    <col min="12" max="12" width="9.37962962962963" customWidth="1"/>
    <col min="13" max="13" width="10.6296296296296" customWidth="1" outlineLevel="1"/>
    <col min="14" max="14" width="7"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1"/>
      <c r="C1" s="1"/>
      <c r="D1" s="1"/>
      <c r="E1" s="1"/>
      <c r="F1" s="1"/>
      <c r="G1" s="1"/>
      <c r="H1" s="1"/>
      <c r="I1" s="1"/>
      <c r="J1" s="1"/>
      <c r="K1" s="1"/>
      <c r="L1" s="1"/>
      <c r="M1" s="1"/>
      <c r="N1" s="1"/>
      <c r="O1" s="1"/>
      <c r="P1" s="1"/>
      <c r="Q1" s="35"/>
      <c r="R1" s="1"/>
      <c r="S1" s="1"/>
      <c r="T1" s="1"/>
      <c r="U1" s="1"/>
      <c r="V1" s="1"/>
      <c r="W1" s="1"/>
      <c r="X1" s="1"/>
      <c r="Y1" s="1"/>
      <c r="Z1" s="1"/>
    </row>
    <row r="2" customHeight="1" spans="1:26">
      <c r="A2" s="2" t="s">
        <v>63</v>
      </c>
      <c r="B2" s="3" t="s">
        <v>778</v>
      </c>
      <c r="C2" s="4"/>
      <c r="D2" s="4"/>
      <c r="E2" s="5"/>
      <c r="F2" s="6"/>
      <c r="G2" s="7"/>
      <c r="H2" s="8"/>
      <c r="I2" s="6"/>
      <c r="J2" s="7"/>
      <c r="K2" s="8"/>
      <c r="L2" s="6"/>
      <c r="M2" s="7"/>
      <c r="N2" s="8"/>
      <c r="O2" s="8"/>
      <c r="P2" s="8"/>
      <c r="Q2" s="36"/>
      <c r="R2" s="34" t="s">
        <v>54</v>
      </c>
      <c r="S2" s="34"/>
      <c r="T2" s="34"/>
      <c r="U2" s="34"/>
      <c r="V2" s="34"/>
      <c r="W2" s="34"/>
      <c r="X2" s="34"/>
      <c r="Y2" s="34"/>
      <c r="Z2" s="34"/>
    </row>
    <row r="3" ht="12.75" customHeight="1" spans="1:26">
      <c r="A3" s="9" t="s">
        <v>64</v>
      </c>
      <c r="B3" s="10" t="s">
        <v>779</v>
      </c>
      <c r="C3" s="11"/>
      <c r="D3" s="11"/>
      <c r="E3" s="12"/>
      <c r="F3" s="6"/>
      <c r="G3" s="7"/>
      <c r="H3" s="8"/>
      <c r="I3" s="6"/>
      <c r="J3" s="7"/>
      <c r="K3" s="8"/>
      <c r="L3" s="6"/>
      <c r="M3" s="7"/>
      <c r="N3" s="8"/>
      <c r="O3" s="8"/>
      <c r="P3" s="8"/>
      <c r="Q3" s="36"/>
      <c r="R3" s="34" t="s">
        <v>55</v>
      </c>
      <c r="S3" s="34"/>
      <c r="T3" s="34"/>
      <c r="U3" s="34"/>
      <c r="V3" s="34"/>
      <c r="W3" s="34"/>
      <c r="X3" s="34"/>
      <c r="Y3" s="34"/>
      <c r="Z3" s="34"/>
    </row>
    <row r="4" ht="18" customHeight="1" spans="1:26">
      <c r="A4" s="9" t="s">
        <v>66</v>
      </c>
      <c r="B4" s="10">
        <f>COUNTA(A12:A993)</f>
        <v>23</v>
      </c>
      <c r="C4" s="11"/>
      <c r="D4" s="11"/>
      <c r="E4" s="12"/>
      <c r="F4" s="6"/>
      <c r="G4" s="7"/>
      <c r="H4" s="8"/>
      <c r="I4" s="6"/>
      <c r="J4" s="7"/>
      <c r="K4" s="8"/>
      <c r="L4" s="6"/>
      <c r="M4" s="7"/>
      <c r="N4" s="8"/>
      <c r="O4" s="8"/>
      <c r="P4" s="8"/>
      <c r="Q4" s="36"/>
      <c r="R4" s="34" t="s">
        <v>56</v>
      </c>
      <c r="S4" s="34"/>
      <c r="T4" s="34"/>
      <c r="U4" s="34"/>
      <c r="V4" s="34"/>
      <c r="W4" s="34"/>
      <c r="X4" s="34"/>
      <c r="Y4" s="34"/>
      <c r="Z4" s="34"/>
    </row>
    <row r="5" ht="19.5" customHeight="1" spans="1:26">
      <c r="A5" s="13" t="s">
        <v>67</v>
      </c>
      <c r="B5" s="14" t="s">
        <v>54</v>
      </c>
      <c r="C5" s="14" t="s">
        <v>55</v>
      </c>
      <c r="D5" s="14" t="s">
        <v>56</v>
      </c>
      <c r="E5" s="15" t="s">
        <v>57</v>
      </c>
      <c r="F5" s="16"/>
      <c r="G5" s="16"/>
      <c r="H5" s="17"/>
      <c r="I5" s="16"/>
      <c r="J5" s="16"/>
      <c r="K5" s="17"/>
      <c r="L5" s="16"/>
      <c r="M5" s="16"/>
      <c r="N5" s="17"/>
      <c r="O5" s="17"/>
      <c r="P5" s="17"/>
      <c r="Q5" s="37"/>
      <c r="R5" s="34" t="s">
        <v>57</v>
      </c>
      <c r="S5" s="34"/>
      <c r="T5" s="34"/>
      <c r="U5" s="34"/>
      <c r="V5" s="34"/>
      <c r="W5" s="34"/>
      <c r="X5" s="34"/>
      <c r="Y5" s="34"/>
      <c r="Z5" s="34"/>
    </row>
    <row r="6" customHeight="1" spans="1:26">
      <c r="A6" s="13" t="s">
        <v>68</v>
      </c>
      <c r="B6" s="18">
        <f t="shared" ref="B6:E6" si="0">COUNTIF($F10:$F991,B5)</f>
        <v>23</v>
      </c>
      <c r="C6" s="18">
        <f t="shared" si="0"/>
        <v>0</v>
      </c>
      <c r="D6" s="18">
        <f t="shared" si="0"/>
        <v>0</v>
      </c>
      <c r="E6" s="19">
        <f t="shared" si="0"/>
        <v>0</v>
      </c>
      <c r="F6" s="20"/>
      <c r="G6" s="20"/>
      <c r="H6" s="17"/>
      <c r="I6" s="20"/>
      <c r="J6" s="20"/>
      <c r="K6" s="17"/>
      <c r="L6" s="20"/>
      <c r="M6" s="20"/>
      <c r="N6" s="17"/>
      <c r="O6" s="17"/>
      <c r="P6" s="17"/>
      <c r="Q6" s="37"/>
      <c r="R6" s="34"/>
      <c r="S6" s="34"/>
      <c r="T6" s="34"/>
      <c r="U6" s="34"/>
      <c r="V6" s="34"/>
      <c r="W6" s="34"/>
      <c r="X6" s="34"/>
      <c r="Y6" s="34"/>
      <c r="Z6" s="34"/>
    </row>
    <row r="7" customHeight="1" spans="1:26">
      <c r="A7" s="13" t="s">
        <v>69</v>
      </c>
      <c r="B7" s="18">
        <f t="shared" ref="B7:E7" si="1">COUNTIF($I10:$I991,B5)</f>
        <v>0</v>
      </c>
      <c r="C7" s="18">
        <f t="shared" si="1"/>
        <v>0</v>
      </c>
      <c r="D7" s="18">
        <f t="shared" si="1"/>
        <v>23</v>
      </c>
      <c r="E7" s="19">
        <f t="shared" si="1"/>
        <v>0</v>
      </c>
      <c r="F7" s="20"/>
      <c r="G7" s="20"/>
      <c r="H7" s="17"/>
      <c r="I7" s="20"/>
      <c r="J7" s="20"/>
      <c r="K7" s="17"/>
      <c r="L7" s="20"/>
      <c r="M7" s="20"/>
      <c r="N7" s="17"/>
      <c r="O7" s="17"/>
      <c r="P7" s="17"/>
      <c r="Q7" s="37"/>
      <c r="R7" s="34"/>
      <c r="S7" s="34"/>
      <c r="T7" s="34"/>
      <c r="U7" s="34"/>
      <c r="V7" s="34"/>
      <c r="W7" s="34"/>
      <c r="X7" s="34"/>
      <c r="Y7" s="34"/>
      <c r="Z7" s="34"/>
    </row>
    <row r="8" customHeight="1" spans="1:26">
      <c r="A8" s="21" t="s">
        <v>70</v>
      </c>
      <c r="B8" s="22">
        <f t="shared" ref="B8:E8" si="2">COUNTIF($L10:$L991,B5)</f>
        <v>0</v>
      </c>
      <c r="C8" s="22">
        <f t="shared" si="2"/>
        <v>0</v>
      </c>
      <c r="D8" s="22">
        <f t="shared" si="2"/>
        <v>23</v>
      </c>
      <c r="E8" s="23">
        <f t="shared" si="2"/>
        <v>0</v>
      </c>
      <c r="F8" s="20"/>
      <c r="G8" s="20"/>
      <c r="H8" s="17"/>
      <c r="I8" s="20"/>
      <c r="J8" s="20"/>
      <c r="K8" s="17"/>
      <c r="L8" s="20"/>
      <c r="M8" s="20"/>
      <c r="N8" s="17"/>
      <c r="O8" s="17"/>
      <c r="P8" s="17"/>
      <c r="Q8" s="37"/>
      <c r="R8" s="34"/>
      <c r="S8" s="34"/>
      <c r="T8" s="34"/>
      <c r="U8" s="34"/>
      <c r="V8" s="34"/>
      <c r="W8" s="34"/>
      <c r="X8" s="34"/>
      <c r="Y8" s="34"/>
      <c r="Z8" s="34"/>
    </row>
    <row r="9" customHeight="1" spans="1:26">
      <c r="A9" s="17"/>
      <c r="B9" s="17"/>
      <c r="C9" s="17"/>
      <c r="D9" s="17"/>
      <c r="E9" s="17"/>
      <c r="F9" s="24"/>
      <c r="G9" s="17"/>
      <c r="H9" s="17"/>
      <c r="I9" s="24"/>
      <c r="J9" s="17"/>
      <c r="K9" s="17"/>
      <c r="L9" s="24"/>
      <c r="M9" s="17"/>
      <c r="N9" s="17"/>
      <c r="O9" s="17"/>
      <c r="P9" s="17"/>
      <c r="Q9" s="37"/>
      <c r="R9" s="34"/>
      <c r="S9" s="34"/>
      <c r="T9" s="34"/>
      <c r="U9" s="34"/>
      <c r="V9" s="34"/>
      <c r="W9" s="34"/>
      <c r="X9" s="34"/>
      <c r="Y9" s="34"/>
      <c r="Z9" s="34"/>
    </row>
    <row r="10" ht="25.5" customHeight="1" spans="1:26">
      <c r="A10" s="25" t="s">
        <v>71</v>
      </c>
      <c r="B10" s="25" t="s">
        <v>72</v>
      </c>
      <c r="C10" s="25" t="s">
        <v>73</v>
      </c>
      <c r="D10" s="25" t="s">
        <v>74</v>
      </c>
      <c r="E10" s="25" t="s">
        <v>75</v>
      </c>
      <c r="F10" s="25" t="s">
        <v>68</v>
      </c>
      <c r="G10" s="25" t="s">
        <v>76</v>
      </c>
      <c r="H10" s="25" t="s">
        <v>77</v>
      </c>
      <c r="I10" s="25" t="s">
        <v>69</v>
      </c>
      <c r="J10" s="25" t="s">
        <v>76</v>
      </c>
      <c r="K10" s="25" t="s">
        <v>77</v>
      </c>
      <c r="L10" s="25" t="s">
        <v>70</v>
      </c>
      <c r="M10" s="25" t="s">
        <v>76</v>
      </c>
      <c r="N10" s="25" t="s">
        <v>77</v>
      </c>
      <c r="O10" s="25" t="s">
        <v>78</v>
      </c>
      <c r="P10" s="34"/>
      <c r="Q10" s="38"/>
      <c r="R10" s="34"/>
      <c r="S10" s="34"/>
      <c r="T10" s="34"/>
      <c r="U10" s="34"/>
      <c r="V10" s="34"/>
      <c r="W10" s="34"/>
      <c r="X10" s="34"/>
      <c r="Y10" s="34"/>
      <c r="Z10" s="34"/>
    </row>
    <row r="11" ht="12.75" customHeight="1" outlineLevel="1" spans="1:26">
      <c r="A11" s="26" t="s">
        <v>780</v>
      </c>
      <c r="B11" s="27"/>
      <c r="C11" s="27"/>
      <c r="D11" s="27"/>
      <c r="E11" s="27"/>
      <c r="F11" s="27"/>
      <c r="G11" s="28"/>
      <c r="H11" s="28"/>
      <c r="I11" s="28"/>
      <c r="J11" s="28"/>
      <c r="K11" s="28"/>
      <c r="L11" s="28"/>
      <c r="M11" s="28"/>
      <c r="N11" s="28"/>
      <c r="O11" s="28"/>
      <c r="P11" s="1"/>
      <c r="Q11" s="39"/>
      <c r="R11" s="1"/>
      <c r="S11" s="1"/>
      <c r="T11" s="1"/>
      <c r="U11" s="1"/>
      <c r="V11" s="1"/>
      <c r="W11" s="1"/>
      <c r="X11" s="1"/>
      <c r="Y11" s="1"/>
      <c r="Z11" s="1"/>
    </row>
    <row r="12" ht="12.75" customHeight="1" outlineLevel="1" spans="1:26">
      <c r="A12" s="29" t="s">
        <v>781</v>
      </c>
      <c r="B12" s="30" t="s">
        <v>782</v>
      </c>
      <c r="C12" s="30" t="s">
        <v>783</v>
      </c>
      <c r="D12" s="30" t="s">
        <v>784</v>
      </c>
      <c r="E12" s="30" t="s">
        <v>785</v>
      </c>
      <c r="F12" s="31" t="s">
        <v>54</v>
      </c>
      <c r="G12" s="28"/>
      <c r="H12" s="28"/>
      <c r="I12" s="28" t="s">
        <v>56</v>
      </c>
      <c r="J12" s="28"/>
      <c r="K12" s="28"/>
      <c r="L12" s="28" t="s">
        <v>56</v>
      </c>
      <c r="M12" s="28"/>
      <c r="N12" s="28"/>
      <c r="O12" s="28"/>
      <c r="P12" s="1"/>
      <c r="Q12" s="39"/>
      <c r="R12" s="1"/>
      <c r="S12" s="1"/>
      <c r="T12" s="1"/>
      <c r="U12" s="1"/>
      <c r="V12" s="1"/>
      <c r="W12" s="1"/>
      <c r="X12" s="1"/>
      <c r="Y12" s="1"/>
      <c r="Z12" s="1"/>
    </row>
    <row r="13" ht="12.75" customHeight="1" outlineLevel="1" spans="1:26">
      <c r="A13" s="29" t="s">
        <v>786</v>
      </c>
      <c r="B13" s="30" t="s">
        <v>787</v>
      </c>
      <c r="C13" s="30" t="s">
        <v>788</v>
      </c>
      <c r="D13" s="30" t="s">
        <v>789</v>
      </c>
      <c r="E13" s="30" t="s">
        <v>785</v>
      </c>
      <c r="F13" s="31" t="s">
        <v>54</v>
      </c>
      <c r="G13" s="28"/>
      <c r="H13" s="28"/>
      <c r="I13" s="28" t="s">
        <v>56</v>
      </c>
      <c r="J13" s="28"/>
      <c r="K13" s="28"/>
      <c r="L13" s="28" t="s">
        <v>56</v>
      </c>
      <c r="M13" s="28"/>
      <c r="N13" s="28"/>
      <c r="O13" s="28"/>
      <c r="P13" s="1"/>
      <c r="Q13" s="39"/>
      <c r="R13" s="1"/>
      <c r="S13" s="1"/>
      <c r="T13" s="1"/>
      <c r="U13" s="1"/>
      <c r="V13" s="1"/>
      <c r="W13" s="1"/>
      <c r="X13" s="1"/>
      <c r="Y13" s="1"/>
      <c r="Z13" s="1"/>
    </row>
    <row r="14" ht="12.75" customHeight="1" outlineLevel="1" spans="1:26">
      <c r="A14" s="29" t="s">
        <v>790</v>
      </c>
      <c r="B14" s="30" t="s">
        <v>791</v>
      </c>
      <c r="C14" s="30" t="s">
        <v>792</v>
      </c>
      <c r="D14" s="30" t="s">
        <v>793</v>
      </c>
      <c r="E14" s="30" t="s">
        <v>794</v>
      </c>
      <c r="F14" s="31" t="s">
        <v>54</v>
      </c>
      <c r="G14" s="28"/>
      <c r="H14" s="28"/>
      <c r="I14" s="28" t="s">
        <v>56</v>
      </c>
      <c r="J14" s="28"/>
      <c r="K14" s="28"/>
      <c r="L14" s="28" t="s">
        <v>56</v>
      </c>
      <c r="M14" s="28"/>
      <c r="N14" s="28"/>
      <c r="O14" s="28"/>
      <c r="P14" s="1"/>
      <c r="Q14" s="39"/>
      <c r="R14" s="1"/>
      <c r="S14" s="1"/>
      <c r="T14" s="1"/>
      <c r="U14" s="1"/>
      <c r="V14" s="1"/>
      <c r="W14" s="1"/>
      <c r="X14" s="1"/>
      <c r="Y14" s="1"/>
      <c r="Z14" s="1"/>
    </row>
    <row r="15" ht="12.75" customHeight="1" outlineLevel="1" spans="1:26">
      <c r="A15" s="29" t="s">
        <v>795</v>
      </c>
      <c r="B15" s="30" t="s">
        <v>796</v>
      </c>
      <c r="C15" s="30" t="s">
        <v>797</v>
      </c>
      <c r="D15" s="30" t="s">
        <v>798</v>
      </c>
      <c r="E15" s="30" t="s">
        <v>794</v>
      </c>
      <c r="F15" s="31" t="s">
        <v>54</v>
      </c>
      <c r="G15" s="32"/>
      <c r="H15" s="32"/>
      <c r="I15" s="28" t="s">
        <v>56</v>
      </c>
      <c r="J15" s="32"/>
      <c r="K15" s="32"/>
      <c r="L15" s="28" t="s">
        <v>56</v>
      </c>
      <c r="M15" s="32"/>
      <c r="N15" s="32"/>
      <c r="O15" s="32"/>
      <c r="P15" s="1"/>
      <c r="Q15" s="35"/>
      <c r="R15" s="1"/>
      <c r="S15" s="1"/>
      <c r="T15" s="1"/>
      <c r="U15" s="1"/>
      <c r="V15" s="1"/>
      <c r="W15" s="1"/>
      <c r="X15" s="1"/>
      <c r="Y15" s="1"/>
      <c r="Z15" s="1"/>
    </row>
    <row r="16" ht="12.75" customHeight="1" spans="1:26">
      <c r="A16" s="29" t="s">
        <v>799</v>
      </c>
      <c r="B16" s="30" t="s">
        <v>800</v>
      </c>
      <c r="C16" s="30" t="s">
        <v>801</v>
      </c>
      <c r="D16" s="30" t="s">
        <v>802</v>
      </c>
      <c r="E16" s="30" t="s">
        <v>794</v>
      </c>
      <c r="F16" s="31" t="s">
        <v>54</v>
      </c>
      <c r="G16" s="32"/>
      <c r="H16" s="32"/>
      <c r="I16" s="28" t="s">
        <v>56</v>
      </c>
      <c r="J16" s="32"/>
      <c r="K16" s="32"/>
      <c r="L16" s="28" t="s">
        <v>56</v>
      </c>
      <c r="M16" s="1"/>
      <c r="N16" s="1"/>
      <c r="O16" s="1"/>
      <c r="P16" s="1"/>
      <c r="Q16" s="35"/>
      <c r="R16" s="1"/>
      <c r="S16" s="1"/>
      <c r="T16" s="1"/>
      <c r="U16" s="1"/>
      <c r="V16" s="1"/>
      <c r="W16" s="1"/>
      <c r="X16" s="1"/>
      <c r="Y16" s="1"/>
      <c r="Z16" s="1"/>
    </row>
    <row r="17" ht="12.75" customHeight="1" spans="1:26">
      <c r="A17" s="29" t="s">
        <v>803</v>
      </c>
      <c r="B17" s="30" t="s">
        <v>804</v>
      </c>
      <c r="C17" s="30" t="s">
        <v>805</v>
      </c>
      <c r="D17" s="30" t="s">
        <v>806</v>
      </c>
      <c r="E17" s="30" t="s">
        <v>794</v>
      </c>
      <c r="F17" s="31" t="s">
        <v>54</v>
      </c>
      <c r="G17" s="32"/>
      <c r="H17" s="32"/>
      <c r="I17" s="28" t="s">
        <v>56</v>
      </c>
      <c r="J17" s="32"/>
      <c r="K17" s="32"/>
      <c r="L17" s="28" t="s">
        <v>56</v>
      </c>
      <c r="M17" s="1"/>
      <c r="N17" s="1"/>
      <c r="O17" s="1"/>
      <c r="P17" s="1"/>
      <c r="Q17" s="35"/>
      <c r="R17" s="1"/>
      <c r="S17" s="1"/>
      <c r="T17" s="1"/>
      <c r="U17" s="1"/>
      <c r="V17" s="1"/>
      <c r="W17" s="1"/>
      <c r="X17" s="1"/>
      <c r="Y17" s="1"/>
      <c r="Z17" s="1"/>
    </row>
    <row r="18" ht="12.75" customHeight="1" spans="1:26">
      <c r="A18" s="29" t="s">
        <v>807</v>
      </c>
      <c r="B18" s="30" t="s">
        <v>808</v>
      </c>
      <c r="C18" s="30" t="s">
        <v>809</v>
      </c>
      <c r="D18" s="30" t="s">
        <v>810</v>
      </c>
      <c r="E18" s="30" t="s">
        <v>794</v>
      </c>
      <c r="F18" s="31" t="s">
        <v>54</v>
      </c>
      <c r="G18" s="32"/>
      <c r="H18" s="32"/>
      <c r="I18" s="28" t="s">
        <v>56</v>
      </c>
      <c r="J18" s="32"/>
      <c r="K18" s="32"/>
      <c r="L18" s="28" t="s">
        <v>56</v>
      </c>
      <c r="M18" s="1"/>
      <c r="N18" s="1"/>
      <c r="O18" s="1"/>
      <c r="P18" s="1"/>
      <c r="Q18" s="35"/>
      <c r="R18" s="1"/>
      <c r="S18" s="1"/>
      <c r="T18" s="1"/>
      <c r="U18" s="1"/>
      <c r="V18" s="1"/>
      <c r="W18" s="1"/>
      <c r="X18" s="1"/>
      <c r="Y18" s="1"/>
      <c r="Z18" s="1"/>
    </row>
    <row r="19" ht="12.75" customHeight="1" spans="1:26">
      <c r="A19" s="33" t="s">
        <v>811</v>
      </c>
      <c r="B19" s="30"/>
      <c r="C19" s="30"/>
      <c r="D19" s="1"/>
      <c r="E19" s="30"/>
      <c r="F19" s="31" t="s">
        <v>54</v>
      </c>
      <c r="G19" s="32"/>
      <c r="H19" s="32"/>
      <c r="I19" s="28" t="s">
        <v>56</v>
      </c>
      <c r="J19" s="32"/>
      <c r="K19" s="32"/>
      <c r="L19" s="28" t="s">
        <v>56</v>
      </c>
      <c r="M19" s="1"/>
      <c r="N19" s="1"/>
      <c r="O19" s="1"/>
      <c r="P19" s="1"/>
      <c r="Q19" s="35"/>
      <c r="R19" s="1"/>
      <c r="S19" s="1"/>
      <c r="T19" s="1"/>
      <c r="U19" s="1"/>
      <c r="V19" s="1"/>
      <c r="W19" s="1"/>
      <c r="X19" s="1"/>
      <c r="Y19" s="1"/>
      <c r="Z19" s="1"/>
    </row>
    <row r="20" ht="12.75" customHeight="1" spans="1:26">
      <c r="A20" s="29" t="s">
        <v>812</v>
      </c>
      <c r="B20" s="30" t="s">
        <v>782</v>
      </c>
      <c r="C20" s="30" t="s">
        <v>813</v>
      </c>
      <c r="D20" s="30" t="s">
        <v>814</v>
      </c>
      <c r="E20" s="30" t="s">
        <v>815</v>
      </c>
      <c r="F20" s="31" t="s">
        <v>54</v>
      </c>
      <c r="G20" s="32"/>
      <c r="H20" s="32"/>
      <c r="I20" s="28" t="s">
        <v>56</v>
      </c>
      <c r="J20" s="32"/>
      <c r="K20" s="32"/>
      <c r="L20" s="28" t="s">
        <v>56</v>
      </c>
      <c r="M20" s="1"/>
      <c r="N20" s="1"/>
      <c r="O20" s="1"/>
      <c r="P20" s="1"/>
      <c r="Q20" s="35"/>
      <c r="R20" s="1"/>
      <c r="S20" s="1"/>
      <c r="T20" s="1"/>
      <c r="U20" s="1"/>
      <c r="V20" s="1"/>
      <c r="W20" s="1"/>
      <c r="X20" s="1"/>
      <c r="Y20" s="1"/>
      <c r="Z20" s="1"/>
    </row>
    <row r="21" ht="12.75" customHeight="1" spans="1:26">
      <c r="A21" s="29" t="s">
        <v>816</v>
      </c>
      <c r="B21" s="30" t="s">
        <v>817</v>
      </c>
      <c r="C21" s="30" t="s">
        <v>818</v>
      </c>
      <c r="D21" s="30" t="s">
        <v>819</v>
      </c>
      <c r="E21" s="30" t="s">
        <v>820</v>
      </c>
      <c r="F21" s="31" t="s">
        <v>54</v>
      </c>
      <c r="G21" s="32"/>
      <c r="H21" s="32"/>
      <c r="I21" s="28" t="s">
        <v>56</v>
      </c>
      <c r="J21" s="32"/>
      <c r="K21" s="32"/>
      <c r="L21" s="28" t="s">
        <v>56</v>
      </c>
      <c r="M21" s="1"/>
      <c r="N21" s="1"/>
      <c r="O21" s="1"/>
      <c r="P21" s="1"/>
      <c r="Q21" s="35"/>
      <c r="R21" s="1"/>
      <c r="S21" s="1"/>
      <c r="T21" s="1"/>
      <c r="U21" s="1"/>
      <c r="V21" s="1"/>
      <c r="W21" s="1"/>
      <c r="X21" s="1"/>
      <c r="Y21" s="1"/>
      <c r="Z21" s="1"/>
    </row>
    <row r="22" ht="12.75" customHeight="1" spans="1:26">
      <c r="A22" s="29" t="s">
        <v>821</v>
      </c>
      <c r="B22" s="30" t="s">
        <v>822</v>
      </c>
      <c r="C22" s="30" t="s">
        <v>823</v>
      </c>
      <c r="D22" s="30" t="s">
        <v>824</v>
      </c>
      <c r="E22" s="30" t="s">
        <v>825</v>
      </c>
      <c r="F22" s="31" t="s">
        <v>54</v>
      </c>
      <c r="G22" s="32"/>
      <c r="H22" s="32"/>
      <c r="I22" s="28" t="s">
        <v>56</v>
      </c>
      <c r="J22" s="32"/>
      <c r="K22" s="32"/>
      <c r="L22" s="28" t="s">
        <v>56</v>
      </c>
      <c r="M22" s="1"/>
      <c r="N22" s="1"/>
      <c r="O22" s="1"/>
      <c r="P22" s="1"/>
      <c r="Q22" s="35"/>
      <c r="R22" s="1"/>
      <c r="S22" s="1"/>
      <c r="T22" s="1"/>
      <c r="U22" s="1"/>
      <c r="V22" s="1"/>
      <c r="W22" s="1"/>
      <c r="X22" s="1"/>
      <c r="Y22" s="1"/>
      <c r="Z22" s="1"/>
    </row>
    <row r="23" ht="12.75" customHeight="1" spans="1:26">
      <c r="A23" s="29" t="s">
        <v>826</v>
      </c>
      <c r="B23" s="30" t="s">
        <v>796</v>
      </c>
      <c r="C23" s="30" t="s">
        <v>827</v>
      </c>
      <c r="D23" s="30" t="s">
        <v>828</v>
      </c>
      <c r="E23" s="30" t="s">
        <v>829</v>
      </c>
      <c r="F23" s="31" t="s">
        <v>54</v>
      </c>
      <c r="G23" s="32"/>
      <c r="H23" s="32"/>
      <c r="I23" s="28" t="s">
        <v>56</v>
      </c>
      <c r="J23" s="32"/>
      <c r="K23" s="32"/>
      <c r="L23" s="28" t="s">
        <v>56</v>
      </c>
      <c r="M23" s="1"/>
      <c r="N23" s="1"/>
      <c r="O23" s="1"/>
      <c r="P23" s="1"/>
      <c r="Q23" s="35"/>
      <c r="R23" s="1"/>
      <c r="S23" s="1"/>
      <c r="T23" s="1"/>
      <c r="U23" s="1"/>
      <c r="V23" s="1"/>
      <c r="W23" s="1"/>
      <c r="X23" s="1"/>
      <c r="Y23" s="1"/>
      <c r="Z23" s="1"/>
    </row>
    <row r="24" ht="12.75" customHeight="1" spans="1:26">
      <c r="A24" s="29" t="s">
        <v>830</v>
      </c>
      <c r="B24" s="30" t="s">
        <v>831</v>
      </c>
      <c r="C24" s="30" t="s">
        <v>832</v>
      </c>
      <c r="D24" s="30" t="s">
        <v>833</v>
      </c>
      <c r="E24" s="30" t="s">
        <v>834</v>
      </c>
      <c r="F24" s="31" t="s">
        <v>54</v>
      </c>
      <c r="G24" s="32"/>
      <c r="H24" s="32"/>
      <c r="I24" s="28" t="s">
        <v>56</v>
      </c>
      <c r="J24" s="32"/>
      <c r="K24" s="32"/>
      <c r="L24" s="28" t="s">
        <v>56</v>
      </c>
      <c r="M24" s="1"/>
      <c r="N24" s="1"/>
      <c r="O24" s="1"/>
      <c r="P24" s="1"/>
      <c r="Q24" s="35"/>
      <c r="R24" s="1"/>
      <c r="S24" s="1"/>
      <c r="T24" s="1"/>
      <c r="U24" s="1"/>
      <c r="V24" s="1"/>
      <c r="W24" s="1"/>
      <c r="X24" s="1"/>
      <c r="Y24" s="1"/>
      <c r="Z24" s="1"/>
    </row>
    <row r="25" ht="12.75" customHeight="1" spans="1:26">
      <c r="A25" s="29" t="s">
        <v>835</v>
      </c>
      <c r="B25" s="30" t="s">
        <v>836</v>
      </c>
      <c r="C25" s="30" t="s">
        <v>837</v>
      </c>
      <c r="D25" s="30" t="s">
        <v>838</v>
      </c>
      <c r="E25" s="30" t="s">
        <v>839</v>
      </c>
      <c r="F25" s="31" t="s">
        <v>54</v>
      </c>
      <c r="G25" s="32"/>
      <c r="H25" s="32"/>
      <c r="I25" s="28" t="s">
        <v>56</v>
      </c>
      <c r="J25" s="32"/>
      <c r="K25" s="32"/>
      <c r="L25" s="28" t="s">
        <v>56</v>
      </c>
      <c r="M25" s="1"/>
      <c r="N25" s="1"/>
      <c r="O25" s="1"/>
      <c r="P25" s="1"/>
      <c r="Q25" s="35"/>
      <c r="R25" s="1"/>
      <c r="S25" s="1"/>
      <c r="T25" s="1"/>
      <c r="U25" s="1"/>
      <c r="V25" s="1"/>
      <c r="W25" s="1"/>
      <c r="X25" s="1"/>
      <c r="Y25" s="1"/>
      <c r="Z25" s="1"/>
    </row>
    <row r="26" ht="12.75" customHeight="1" spans="1:26">
      <c r="A26" s="29" t="s">
        <v>840</v>
      </c>
      <c r="B26" s="30" t="s">
        <v>841</v>
      </c>
      <c r="C26" s="30" t="s">
        <v>842</v>
      </c>
      <c r="D26" s="30" t="s">
        <v>843</v>
      </c>
      <c r="E26" s="30" t="s">
        <v>844</v>
      </c>
      <c r="F26" s="31" t="s">
        <v>54</v>
      </c>
      <c r="G26" s="32"/>
      <c r="H26" s="32"/>
      <c r="I26" s="28" t="s">
        <v>56</v>
      </c>
      <c r="J26" s="32"/>
      <c r="K26" s="32"/>
      <c r="L26" s="28" t="s">
        <v>56</v>
      </c>
      <c r="M26" s="1"/>
      <c r="N26" s="1"/>
      <c r="O26" s="1"/>
      <c r="P26" s="1"/>
      <c r="Q26" s="35"/>
      <c r="R26" s="1"/>
      <c r="S26" s="1"/>
      <c r="T26" s="1"/>
      <c r="U26" s="1"/>
      <c r="V26" s="1"/>
      <c r="W26" s="1"/>
      <c r="X26" s="1"/>
      <c r="Y26" s="1"/>
      <c r="Z26" s="1"/>
    </row>
    <row r="27" ht="12.75" customHeight="1" spans="1:26">
      <c r="A27" s="29" t="s">
        <v>845</v>
      </c>
      <c r="B27" s="30" t="s">
        <v>846</v>
      </c>
      <c r="C27" s="30" t="s">
        <v>847</v>
      </c>
      <c r="D27" s="30" t="s">
        <v>848</v>
      </c>
      <c r="E27" s="30" t="s">
        <v>849</v>
      </c>
      <c r="F27" s="31" t="s">
        <v>54</v>
      </c>
      <c r="G27" s="32"/>
      <c r="H27" s="32"/>
      <c r="I27" s="28" t="s">
        <v>56</v>
      </c>
      <c r="J27" s="32"/>
      <c r="K27" s="32"/>
      <c r="L27" s="28" t="s">
        <v>56</v>
      </c>
      <c r="M27" s="1"/>
      <c r="N27" s="1"/>
      <c r="O27" s="1"/>
      <c r="P27" s="1"/>
      <c r="Q27" s="35"/>
      <c r="R27" s="1"/>
      <c r="S27" s="1"/>
      <c r="T27" s="1"/>
      <c r="U27" s="1"/>
      <c r="V27" s="1"/>
      <c r="W27" s="1"/>
      <c r="X27" s="1"/>
      <c r="Y27" s="1"/>
      <c r="Z27" s="1"/>
    </row>
    <row r="28" ht="12.75" customHeight="1" spans="1:26">
      <c r="A28" s="26" t="s">
        <v>850</v>
      </c>
      <c r="B28" s="30"/>
      <c r="C28" s="30"/>
      <c r="D28" s="1"/>
      <c r="E28" s="30"/>
      <c r="F28" s="31" t="s">
        <v>54</v>
      </c>
      <c r="G28" s="32"/>
      <c r="H28" s="32"/>
      <c r="I28" s="28" t="s">
        <v>56</v>
      </c>
      <c r="J28" s="32"/>
      <c r="K28" s="32"/>
      <c r="L28" s="28" t="s">
        <v>56</v>
      </c>
      <c r="M28" s="1"/>
      <c r="N28" s="1"/>
      <c r="O28" s="1"/>
      <c r="P28" s="1"/>
      <c r="Q28" s="35"/>
      <c r="R28" s="1"/>
      <c r="S28" s="1"/>
      <c r="T28" s="1"/>
      <c r="U28" s="1"/>
      <c r="V28" s="1"/>
      <c r="W28" s="1"/>
      <c r="X28" s="1"/>
      <c r="Y28" s="1"/>
      <c r="Z28" s="1"/>
    </row>
    <row r="29" ht="12.75" customHeight="1" spans="1:26">
      <c r="A29" s="29" t="s">
        <v>851</v>
      </c>
      <c r="B29" s="30" t="s">
        <v>782</v>
      </c>
      <c r="C29" s="30" t="s">
        <v>852</v>
      </c>
      <c r="D29" s="30" t="s">
        <v>853</v>
      </c>
      <c r="E29" s="30" t="s">
        <v>854</v>
      </c>
      <c r="F29" s="31" t="s">
        <v>54</v>
      </c>
      <c r="G29" s="32"/>
      <c r="H29" s="32"/>
      <c r="I29" s="28" t="s">
        <v>56</v>
      </c>
      <c r="J29" s="32"/>
      <c r="K29" s="32"/>
      <c r="L29" s="28" t="s">
        <v>56</v>
      </c>
      <c r="M29" s="1"/>
      <c r="N29" s="1"/>
      <c r="O29" s="1"/>
      <c r="P29" s="1"/>
      <c r="Q29" s="35"/>
      <c r="R29" s="1"/>
      <c r="S29" s="1"/>
      <c r="T29" s="1"/>
      <c r="U29" s="1"/>
      <c r="V29" s="1"/>
      <c r="W29" s="1"/>
      <c r="X29" s="1"/>
      <c r="Y29" s="1"/>
      <c r="Z29" s="1"/>
    </row>
    <row r="30" ht="12.75" customHeight="1" spans="1:26">
      <c r="A30" s="29" t="s">
        <v>855</v>
      </c>
      <c r="B30" s="30" t="s">
        <v>817</v>
      </c>
      <c r="C30" s="30" t="s">
        <v>856</v>
      </c>
      <c r="D30" s="30" t="s">
        <v>857</v>
      </c>
      <c r="E30" s="30" t="s">
        <v>858</v>
      </c>
      <c r="F30" s="31" t="s">
        <v>54</v>
      </c>
      <c r="G30" s="32"/>
      <c r="H30" s="32"/>
      <c r="I30" s="28" t="s">
        <v>56</v>
      </c>
      <c r="J30" s="32"/>
      <c r="K30" s="32"/>
      <c r="L30" s="28" t="s">
        <v>56</v>
      </c>
      <c r="M30" s="1"/>
      <c r="N30" s="1"/>
      <c r="O30" s="1"/>
      <c r="P30" s="1"/>
      <c r="Q30" s="35"/>
      <c r="R30" s="1"/>
      <c r="S30" s="1"/>
      <c r="T30" s="1"/>
      <c r="U30" s="1"/>
      <c r="V30" s="1"/>
      <c r="W30" s="1"/>
      <c r="X30" s="1"/>
      <c r="Y30" s="1"/>
      <c r="Z30" s="1"/>
    </row>
    <row r="31" ht="12.75" customHeight="1" spans="1:26">
      <c r="A31" s="29" t="s">
        <v>859</v>
      </c>
      <c r="B31" s="30" t="s">
        <v>860</v>
      </c>
      <c r="C31" s="30" t="s">
        <v>861</v>
      </c>
      <c r="D31" s="30" t="s">
        <v>862</v>
      </c>
      <c r="E31" s="30" t="s">
        <v>863</v>
      </c>
      <c r="F31" s="31" t="s">
        <v>54</v>
      </c>
      <c r="G31" s="32"/>
      <c r="H31" s="32"/>
      <c r="I31" s="28" t="s">
        <v>56</v>
      </c>
      <c r="J31" s="32"/>
      <c r="K31" s="32"/>
      <c r="L31" s="28" t="s">
        <v>56</v>
      </c>
      <c r="M31" s="1"/>
      <c r="N31" s="1"/>
      <c r="O31" s="1"/>
      <c r="P31" s="1"/>
      <c r="Q31" s="35"/>
      <c r="R31" s="1"/>
      <c r="S31" s="1"/>
      <c r="T31" s="1"/>
      <c r="U31" s="1"/>
      <c r="V31" s="1"/>
      <c r="W31" s="1"/>
      <c r="X31" s="1"/>
      <c r="Y31" s="1"/>
      <c r="Z31" s="1"/>
    </row>
    <row r="32" ht="12.75" customHeight="1" spans="1:26">
      <c r="A32" s="29" t="s">
        <v>864</v>
      </c>
      <c r="B32" s="30" t="s">
        <v>865</v>
      </c>
      <c r="C32" s="30" t="s">
        <v>866</v>
      </c>
      <c r="D32" s="30" t="s">
        <v>867</v>
      </c>
      <c r="E32" s="30" t="s">
        <v>863</v>
      </c>
      <c r="F32" s="31" t="s">
        <v>54</v>
      </c>
      <c r="G32" s="32"/>
      <c r="H32" s="32"/>
      <c r="I32" s="28" t="s">
        <v>56</v>
      </c>
      <c r="J32" s="32"/>
      <c r="K32" s="32"/>
      <c r="L32" s="28" t="s">
        <v>56</v>
      </c>
      <c r="M32" s="1"/>
      <c r="N32" s="1"/>
      <c r="O32" s="1"/>
      <c r="P32" s="1"/>
      <c r="Q32" s="35"/>
      <c r="R32" s="1"/>
      <c r="S32" s="1"/>
      <c r="T32" s="1"/>
      <c r="U32" s="1"/>
      <c r="V32" s="1"/>
      <c r="W32" s="1"/>
      <c r="X32" s="1"/>
      <c r="Y32" s="1"/>
      <c r="Z32" s="1"/>
    </row>
    <row r="33" ht="12.75" customHeight="1" spans="1:26">
      <c r="A33" s="29" t="s">
        <v>868</v>
      </c>
      <c r="B33" s="30" t="s">
        <v>869</v>
      </c>
      <c r="C33" s="30" t="s">
        <v>870</v>
      </c>
      <c r="D33" s="30" t="s">
        <v>871</v>
      </c>
      <c r="E33" s="30" t="s">
        <v>872</v>
      </c>
      <c r="F33" s="31" t="s">
        <v>54</v>
      </c>
      <c r="G33" s="32"/>
      <c r="H33" s="32"/>
      <c r="I33" s="28" t="s">
        <v>56</v>
      </c>
      <c r="J33" s="32"/>
      <c r="K33" s="32"/>
      <c r="L33" s="28" t="s">
        <v>56</v>
      </c>
      <c r="M33" s="1"/>
      <c r="N33" s="1"/>
      <c r="O33" s="1"/>
      <c r="P33" s="1"/>
      <c r="Q33" s="35"/>
      <c r="R33" s="1"/>
      <c r="S33" s="1"/>
      <c r="T33" s="1"/>
      <c r="U33" s="1"/>
      <c r="V33" s="1"/>
      <c r="W33" s="1"/>
      <c r="X33" s="1"/>
      <c r="Y33" s="1"/>
      <c r="Z33" s="1"/>
    </row>
    <row r="34" ht="12.75" customHeight="1" spans="1:26">
      <c r="A34" s="29" t="s">
        <v>873</v>
      </c>
      <c r="B34" s="30" t="s">
        <v>874</v>
      </c>
      <c r="C34" s="30" t="s">
        <v>875</v>
      </c>
      <c r="D34" s="30" t="s">
        <v>876</v>
      </c>
      <c r="E34" s="30" t="s">
        <v>877</v>
      </c>
      <c r="F34" s="31" t="s">
        <v>54</v>
      </c>
      <c r="G34" s="32"/>
      <c r="H34" s="32"/>
      <c r="I34" s="28" t="s">
        <v>56</v>
      </c>
      <c r="J34" s="32"/>
      <c r="K34" s="32"/>
      <c r="L34" s="28" t="s">
        <v>56</v>
      </c>
      <c r="M34" s="1"/>
      <c r="N34" s="1"/>
      <c r="O34" s="1"/>
      <c r="P34" s="1"/>
      <c r="Q34" s="35"/>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35"/>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35"/>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35"/>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35"/>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35"/>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35"/>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35"/>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35"/>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35"/>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35"/>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35"/>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35"/>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35"/>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35"/>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35"/>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35"/>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35"/>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35"/>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35"/>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35"/>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35"/>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35"/>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35"/>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35"/>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35"/>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35"/>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35"/>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35"/>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35"/>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35"/>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35"/>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35"/>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35"/>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35"/>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35"/>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35"/>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35"/>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35"/>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35"/>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35"/>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35"/>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35"/>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35"/>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35"/>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35"/>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35"/>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35"/>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35"/>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35"/>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35"/>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35"/>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35"/>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35"/>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35"/>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35"/>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35"/>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35"/>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35"/>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35"/>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35"/>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35"/>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35"/>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35"/>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35"/>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35"/>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35"/>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35"/>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35"/>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35"/>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35"/>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35"/>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35"/>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35"/>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35"/>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35"/>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35"/>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35"/>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35"/>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35"/>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35"/>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35"/>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35"/>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35"/>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35"/>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35"/>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35"/>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35"/>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35"/>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35"/>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35"/>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35"/>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35"/>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35"/>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35"/>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35"/>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35"/>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35"/>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35"/>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35"/>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35"/>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35"/>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35"/>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35"/>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35"/>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35"/>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35"/>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35"/>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35"/>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35"/>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35"/>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35"/>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35"/>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35"/>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35"/>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35"/>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35"/>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35"/>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35"/>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35"/>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35"/>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35"/>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35"/>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35"/>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35"/>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35"/>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35"/>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35"/>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35"/>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35"/>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35"/>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35"/>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35"/>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35"/>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35"/>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35"/>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35"/>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35"/>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35"/>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35"/>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35"/>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35"/>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35"/>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35"/>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35"/>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35"/>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35"/>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35"/>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35"/>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35"/>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35"/>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35"/>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35"/>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35"/>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35"/>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35"/>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35"/>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35"/>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35"/>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35"/>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35"/>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35"/>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35"/>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35"/>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35"/>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35"/>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35"/>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35"/>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35"/>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35"/>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35"/>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35"/>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35"/>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35"/>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35"/>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35"/>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35"/>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35"/>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35"/>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35"/>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35"/>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35"/>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35"/>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35"/>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35"/>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35"/>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35"/>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35"/>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35"/>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35"/>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35"/>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35"/>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35"/>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35"/>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35"/>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35"/>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35"/>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35"/>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35"/>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35"/>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35"/>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35"/>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35"/>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35"/>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35"/>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35"/>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35"/>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35"/>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35"/>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35"/>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35"/>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35"/>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35"/>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35"/>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35"/>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35"/>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35"/>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35"/>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35"/>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35"/>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35"/>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35"/>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35"/>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35"/>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35"/>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35"/>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35"/>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35"/>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35"/>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35"/>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35"/>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35"/>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35"/>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35"/>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35"/>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35"/>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35"/>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35"/>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35"/>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35"/>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35"/>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35"/>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35"/>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35"/>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35"/>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35"/>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35"/>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35"/>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35"/>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35"/>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35"/>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35"/>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35"/>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35"/>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35"/>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35"/>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35"/>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35"/>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35"/>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35"/>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35"/>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35"/>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35"/>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35"/>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35"/>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35"/>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35"/>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35"/>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35"/>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35"/>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35"/>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35"/>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35"/>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35"/>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35"/>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35"/>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35"/>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35"/>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35"/>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35"/>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35"/>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35"/>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35"/>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35"/>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35"/>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35"/>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35"/>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35"/>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35"/>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35"/>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35"/>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35"/>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35"/>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35"/>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35"/>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35"/>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35"/>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35"/>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35"/>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35"/>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35"/>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35"/>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35"/>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35"/>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35"/>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35"/>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35"/>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35"/>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35"/>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35"/>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35"/>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35"/>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35"/>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35"/>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35"/>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35"/>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35"/>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35"/>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35"/>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35"/>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35"/>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35"/>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35"/>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35"/>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35"/>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35"/>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35"/>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35"/>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35"/>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35"/>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35"/>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35"/>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35"/>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35"/>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35"/>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35"/>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35"/>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35"/>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35"/>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35"/>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35"/>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35"/>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35"/>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35"/>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35"/>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35"/>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35"/>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35"/>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35"/>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35"/>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35"/>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35"/>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35"/>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35"/>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35"/>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35"/>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35"/>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35"/>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35"/>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35"/>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35"/>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35"/>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35"/>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35"/>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35"/>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35"/>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35"/>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35"/>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35"/>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35"/>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35"/>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35"/>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35"/>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35"/>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35"/>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35"/>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35"/>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35"/>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35"/>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35"/>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35"/>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35"/>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35"/>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35"/>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35"/>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35"/>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35"/>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35"/>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35"/>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35"/>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35"/>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35"/>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35"/>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35"/>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35"/>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35"/>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35"/>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35"/>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35"/>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35"/>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35"/>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35"/>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35"/>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35"/>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35"/>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35"/>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35"/>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35"/>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35"/>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35"/>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35"/>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35"/>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35"/>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35"/>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35"/>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35"/>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35"/>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35"/>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35"/>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35"/>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35"/>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35"/>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35"/>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35"/>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35"/>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35"/>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35"/>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35"/>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35"/>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35"/>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35"/>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35"/>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35"/>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35"/>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35"/>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35"/>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35"/>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35"/>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35"/>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35"/>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35"/>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35"/>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35"/>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35"/>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35"/>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35"/>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35"/>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35"/>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35"/>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35"/>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35"/>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35"/>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35"/>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35"/>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35"/>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35"/>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35"/>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35"/>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35"/>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35"/>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35"/>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35"/>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35"/>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35"/>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35"/>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35"/>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35"/>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35"/>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35"/>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35"/>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35"/>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35"/>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35"/>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35"/>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35"/>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35"/>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35"/>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35"/>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35"/>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35"/>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35"/>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35"/>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35"/>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35"/>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35"/>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35"/>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35"/>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35"/>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35"/>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35"/>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35"/>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35"/>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35"/>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35"/>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35"/>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35"/>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35"/>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35"/>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35"/>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35"/>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35"/>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35"/>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35"/>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35"/>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35"/>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35"/>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35"/>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35"/>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35"/>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35"/>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35"/>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35"/>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35"/>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35"/>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35"/>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35"/>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35"/>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35"/>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35"/>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35"/>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35"/>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35"/>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35"/>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35"/>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35"/>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35"/>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35"/>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35"/>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35"/>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35"/>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35"/>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35"/>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35"/>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35"/>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35"/>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35"/>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35"/>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35"/>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35"/>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35"/>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35"/>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35"/>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35"/>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35"/>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35"/>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35"/>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35"/>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35"/>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35"/>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35"/>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35"/>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35"/>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35"/>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35"/>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35"/>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35"/>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35"/>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35"/>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35"/>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35"/>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35"/>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35"/>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35"/>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35"/>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35"/>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35"/>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35"/>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35"/>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35"/>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35"/>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35"/>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35"/>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35"/>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35"/>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35"/>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35"/>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35"/>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35"/>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35"/>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35"/>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35"/>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35"/>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35"/>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35"/>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35"/>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35"/>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35"/>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35"/>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35"/>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35"/>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35"/>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35"/>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35"/>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35"/>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35"/>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35"/>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35"/>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35"/>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35"/>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35"/>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35"/>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35"/>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35"/>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35"/>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35"/>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35"/>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35"/>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35"/>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35"/>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35"/>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35"/>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35"/>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35"/>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35"/>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35"/>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35"/>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35"/>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35"/>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35"/>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35"/>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35"/>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35"/>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35"/>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35"/>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35"/>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35"/>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35"/>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35"/>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35"/>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35"/>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35"/>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35"/>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35"/>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35"/>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35"/>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35"/>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35"/>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35"/>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35"/>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35"/>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35"/>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35"/>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35"/>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35"/>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35"/>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35"/>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35"/>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35"/>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35"/>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35"/>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35"/>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35"/>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35"/>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35"/>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35"/>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35"/>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35"/>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35"/>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35"/>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35"/>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35"/>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35"/>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35"/>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35"/>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35"/>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35"/>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35"/>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35"/>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35"/>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35"/>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35"/>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35"/>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35"/>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35"/>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35"/>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35"/>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35"/>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35"/>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35"/>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35"/>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35"/>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35"/>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35"/>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35"/>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35"/>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35"/>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35"/>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35"/>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35"/>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35"/>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35"/>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35"/>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35"/>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35"/>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35"/>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35"/>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35"/>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35"/>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35"/>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35"/>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35"/>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35"/>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35"/>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35"/>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35"/>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35"/>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35"/>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35"/>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35"/>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35"/>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35"/>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35"/>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35"/>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35"/>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35"/>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35"/>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35"/>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35"/>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35"/>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35"/>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35"/>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35"/>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35"/>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35"/>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35"/>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35"/>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35"/>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35"/>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35"/>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35"/>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35"/>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35"/>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35"/>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35"/>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35"/>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35"/>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35"/>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35"/>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35"/>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35"/>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35"/>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35"/>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35"/>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35"/>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35"/>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35"/>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35"/>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35"/>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35"/>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35"/>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35"/>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35"/>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35"/>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35"/>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35"/>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35"/>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35"/>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35"/>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35"/>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35"/>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35"/>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35"/>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35"/>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35"/>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35"/>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35"/>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35"/>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35"/>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35"/>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35"/>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35"/>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35"/>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35"/>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35"/>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35"/>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35"/>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35"/>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35"/>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35"/>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35"/>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35"/>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35"/>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35"/>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35"/>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35"/>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35"/>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35"/>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35"/>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35"/>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35"/>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35"/>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35"/>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35"/>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35"/>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35"/>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35"/>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35"/>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35"/>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35"/>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35"/>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35"/>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35"/>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35"/>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35"/>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35"/>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35"/>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35"/>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35"/>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35"/>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35"/>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35"/>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35"/>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35"/>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35"/>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35"/>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35"/>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35"/>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35"/>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35"/>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35"/>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35"/>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35"/>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35"/>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35"/>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35"/>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35"/>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35"/>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35"/>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35"/>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35"/>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35"/>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35"/>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35"/>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35"/>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35"/>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35"/>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35"/>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35"/>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35"/>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35"/>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35"/>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35"/>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35"/>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35"/>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35"/>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35"/>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35"/>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35"/>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35"/>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35"/>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35"/>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35"/>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35"/>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35"/>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35"/>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35"/>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35"/>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35"/>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35"/>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35"/>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35"/>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35"/>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35"/>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35"/>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35"/>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35"/>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35"/>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35"/>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35"/>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35"/>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35"/>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35"/>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35"/>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35"/>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35"/>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35"/>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35"/>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35"/>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35"/>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35"/>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35"/>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35"/>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35"/>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35"/>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35"/>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35"/>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35"/>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35"/>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35"/>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35"/>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35"/>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35"/>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35"/>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35"/>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35"/>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35"/>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35"/>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35"/>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35"/>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35"/>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35"/>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35"/>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35"/>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35"/>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35"/>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35"/>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35"/>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35"/>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35"/>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35"/>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35"/>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35"/>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35"/>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35"/>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35"/>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35"/>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35"/>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35"/>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35"/>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35"/>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35"/>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35"/>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35"/>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35"/>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35"/>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35"/>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35"/>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35"/>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35"/>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35"/>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35"/>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35"/>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35"/>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35"/>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35"/>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35"/>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35"/>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35"/>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35"/>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35"/>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35"/>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35"/>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35"/>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35"/>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35"/>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35"/>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35"/>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35"/>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35"/>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35"/>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35"/>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35"/>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35"/>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35"/>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35"/>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35"/>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35"/>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35"/>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35"/>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35"/>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35"/>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35"/>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35"/>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35"/>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35"/>
      <c r="R998" s="1"/>
      <c r="S998" s="1"/>
      <c r="T998" s="1"/>
      <c r="U998" s="1"/>
      <c r="V998" s="1"/>
      <c r="W998" s="1"/>
      <c r="X998" s="1"/>
      <c r="Y998" s="1"/>
      <c r="Z998" s="1"/>
    </row>
  </sheetData>
  <mergeCells count="3">
    <mergeCell ref="B2:E2"/>
    <mergeCell ref="B3:E3"/>
    <mergeCell ref="B4:E4"/>
  </mergeCells>
  <dataValidations count="1">
    <dataValidation type="list" allowBlank="1" showErrorMessage="1" sqref="G9 J9 M9 F11:F34 G2:G3 G35:G140 I11:I34 J2:J3 J35:J140 L11:L15 M2:M3 M35:M140 L16:M34">
      <formula1>$R$2:$R$5</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Cover</vt:lpstr>
      <vt:lpstr>Test Cases</vt:lpstr>
      <vt:lpstr>Test Statistics</vt:lpstr>
      <vt:lpstr>Feature 1</vt:lpstr>
      <vt:lpstr>Feature 2</vt:lpstr>
      <vt:lpstr>Feature 3</vt:lpstr>
      <vt:lpstr>Feature 4</vt:lpstr>
      <vt:lpstr>Feature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Duong Minh Nhat (K18 HCM)</cp:lastModifiedBy>
  <dcterms:created xsi:type="dcterms:W3CDTF">2025-12-12T19:36:10Z</dcterms:created>
  <dcterms:modified xsi:type="dcterms:W3CDTF">2025-12-12T19:37:29Z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71DE8F3D4B5443F49F26974D30BE43BA_12</vt:lpwstr>
  </property>
  <property fmtid="{D5CDD505-2E9C-101B-9397-08002B2CF9AE}" pid="3" name="KSOProductBuildVer">
    <vt:lpwstr>1033-12.2.0.23155</vt:lpwstr>
  </property>
</Properties>
</file>